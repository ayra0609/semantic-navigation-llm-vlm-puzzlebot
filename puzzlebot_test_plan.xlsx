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university_durham\毕业论文\20260904\20260626\"/>
    </mc:Choice>
  </mc:AlternateContent>
  <xr:revisionPtr revIDLastSave="0" documentId="13_ncr:1_{35154562-B918-46E9-A339-440C3E6FA2E2}" xr6:coauthVersionLast="47" xr6:coauthVersionMax="47" xr10:uidLastSave="{00000000-0000-0000-0000-000000000000}"/>
  <bookViews>
    <workbookView xWindow="-110" yWindow="-110" windowWidth="25820" windowHeight="15500" xr2:uid="{00000000-000D-0000-FFFF-FFFF00000000}"/>
  </bookViews>
  <sheets>
    <sheet name="Basic Objective Test" sheetId="1" r:id="rId1"/>
    <sheet name="Report" sheetId="5" r:id="rId2"/>
    <sheet name="Robustness Test" sheetId="6" state="hidden" r:id="rId3"/>
    <sheet name="Basic Objective Test (2)" sheetId="7"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5" l="1"/>
  <c r="L6" i="5"/>
  <c r="L7" i="5"/>
  <c r="L8" i="5"/>
  <c r="L9" i="5"/>
  <c r="L10" i="5"/>
  <c r="L11" i="5"/>
  <c r="L12" i="5"/>
  <c r="L13" i="5"/>
  <c r="L14" i="5"/>
  <c r="L15" i="5"/>
  <c r="L16" i="5"/>
  <c r="L17" i="5"/>
  <c r="L18" i="5"/>
  <c r="K5" i="5"/>
  <c r="K6" i="5"/>
  <c r="K7" i="5"/>
  <c r="K8" i="5"/>
  <c r="K9" i="5"/>
  <c r="K10" i="5"/>
  <c r="K11" i="5"/>
  <c r="K12" i="5"/>
  <c r="K13" i="5"/>
  <c r="K14" i="5"/>
  <c r="K15" i="5"/>
  <c r="K16" i="5"/>
  <c r="K17" i="5"/>
  <c r="K18" i="5"/>
  <c r="J5" i="5"/>
  <c r="J6" i="5"/>
  <c r="J7" i="5"/>
  <c r="J8" i="5"/>
  <c r="J9" i="5"/>
  <c r="J10" i="5"/>
  <c r="J11" i="5"/>
  <c r="J12" i="5"/>
  <c r="J13" i="5"/>
  <c r="J14" i="5"/>
  <c r="J15" i="5"/>
  <c r="J16" i="5"/>
  <c r="J17" i="5"/>
  <c r="J18" i="5"/>
  <c r="I5" i="5"/>
  <c r="I6" i="5"/>
  <c r="I7" i="5"/>
  <c r="I8" i="5"/>
  <c r="I9" i="5"/>
  <c r="I10" i="5"/>
  <c r="I11" i="5"/>
  <c r="I12" i="5"/>
  <c r="I13" i="5"/>
  <c r="I14" i="5"/>
  <c r="I15" i="5"/>
  <c r="I16" i="5"/>
  <c r="I17" i="5"/>
  <c r="I18" i="5"/>
  <c r="G5" i="5" a="1"/>
  <c r="G5" i="5" s="1"/>
  <c r="G6" i="5" a="1"/>
  <c r="G6"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F5" i="5" a="1"/>
  <c r="F5" i="5" s="1"/>
  <c r="F6" i="5" a="1"/>
  <c r="F6" i="5" s="1"/>
  <c r="F7" i="5" a="1"/>
  <c r="F7" i="5" s="1"/>
  <c r="F8" i="5" a="1"/>
  <c r="F8" i="5"/>
  <c r="F9" i="5" a="1"/>
  <c r="F9" i="5" s="1"/>
  <c r="F10" i="5" a="1"/>
  <c r="F10" i="5" s="1"/>
  <c r="F11" i="5" a="1"/>
  <c r="F11" i="5" s="1"/>
  <c r="F12" i="5" a="1"/>
  <c r="F12" i="5" s="1"/>
  <c r="F13" i="5" a="1"/>
  <c r="F13" i="5" s="1"/>
  <c r="F14" i="5" a="1"/>
  <c r="F14" i="5" s="1"/>
  <c r="F15" i="5" a="1"/>
  <c r="F15" i="5" s="1"/>
  <c r="F16" i="5" a="1"/>
  <c r="F16" i="5" s="1"/>
  <c r="F17" i="5" a="1"/>
  <c r="F17" i="5" s="1"/>
  <c r="F18" i="5" a="1"/>
  <c r="F18" i="5" s="1"/>
  <c r="E5" i="5" a="1"/>
  <c r="E5" i="5" s="1"/>
  <c r="E6" i="5" a="1"/>
  <c r="E6" i="5" s="1"/>
  <c r="E7" i="5" a="1"/>
  <c r="E7" i="5" s="1"/>
  <c r="E8" i="5" a="1"/>
  <c r="E8" i="5"/>
  <c r="E9" i="5" a="1"/>
  <c r="E9" i="5" s="1"/>
  <c r="E10" i="5" a="1"/>
  <c r="E10" i="5" s="1"/>
  <c r="E11" i="5" a="1"/>
  <c r="E11" i="5" s="1"/>
  <c r="E12" i="5" a="1"/>
  <c r="E12" i="5" s="1"/>
  <c r="E13" i="5" a="1"/>
  <c r="E13" i="5" s="1"/>
  <c r="E14" i="5" a="1"/>
  <c r="E14" i="5" s="1"/>
  <c r="E15" i="5" a="1"/>
  <c r="E15" i="5" s="1"/>
  <c r="E16" i="5" a="1"/>
  <c r="E16" i="5"/>
  <c r="E17" i="5" a="1"/>
  <c r="E17" i="5" s="1"/>
  <c r="E18" i="5" a="1"/>
  <c r="E18" i="5" s="1"/>
  <c r="E4" i="5" a="1"/>
  <c r="E4" i="5" s="1"/>
  <c r="G4" i="5" a="1"/>
  <c r="G4" i="5" s="1"/>
  <c r="F4" i="5" a="1"/>
  <c r="F4" i="5" s="1"/>
  <c r="L4" i="5"/>
  <c r="K4" i="5"/>
  <c r="J4" i="5"/>
  <c r="I4" i="5"/>
  <c r="H4" i="5"/>
  <c r="H5" i="5"/>
  <c r="H6" i="5"/>
  <c r="H7" i="5"/>
  <c r="H8" i="5"/>
  <c r="H9" i="5"/>
  <c r="H10" i="5"/>
  <c r="H11" i="5"/>
  <c r="H12" i="5"/>
  <c r="H13" i="5"/>
  <c r="H14" i="5"/>
  <c r="H15" i="5"/>
  <c r="H16" i="5"/>
  <c r="H17" i="5"/>
  <c r="H18" i="5"/>
  <c r="D18" i="5"/>
  <c r="D17" i="5"/>
  <c r="D16" i="5"/>
  <c r="D15" i="5"/>
  <c r="D14" i="5"/>
  <c r="D13" i="5"/>
  <c r="D11" i="5"/>
  <c r="D10" i="5"/>
  <c r="D9" i="5"/>
  <c r="D8" i="5"/>
  <c r="D7" i="5"/>
  <c r="D6" i="5"/>
  <c r="D5" i="5"/>
  <c r="D12" i="5"/>
  <c r="D4" i="5"/>
  <c r="B19" i="5"/>
  <c r="T55" i="1"/>
  <c r="T56" i="1"/>
  <c r="T57" i="1"/>
  <c r="T58" i="1"/>
  <c r="T59" i="1"/>
  <c r="T60" i="1"/>
  <c r="T61" i="1"/>
  <c r="T62" i="1"/>
  <c r="T63" i="1"/>
  <c r="T64" i="1"/>
  <c r="T65" i="1"/>
  <c r="T66" i="1"/>
  <c r="T67" i="1"/>
  <c r="T68" i="1"/>
  <c r="T69" i="1"/>
  <c r="T70" i="1"/>
  <c r="T71" i="1"/>
  <c r="T72" i="1"/>
  <c r="T73" i="1"/>
  <c r="T74" i="1"/>
  <c r="T75" i="1"/>
  <c r="T76" i="1"/>
  <c r="T77" i="1"/>
  <c r="T78" i="1"/>
  <c r="T54" i="1"/>
  <c r="T30" i="1"/>
  <c r="T31" i="1"/>
  <c r="T32" i="1"/>
  <c r="T33" i="1"/>
  <c r="T34" i="1"/>
  <c r="T35" i="1"/>
  <c r="T36" i="1"/>
  <c r="T37" i="1"/>
  <c r="T38" i="1"/>
  <c r="T39" i="1"/>
  <c r="T40" i="1"/>
  <c r="T41" i="1"/>
  <c r="T42" i="1"/>
  <c r="T43" i="1"/>
  <c r="T44" i="1"/>
  <c r="T45" i="1"/>
  <c r="T46" i="1"/>
  <c r="T47" i="1"/>
  <c r="T48" i="1"/>
  <c r="T49" i="1"/>
  <c r="T50" i="1"/>
  <c r="T51" i="1"/>
  <c r="T52" i="1"/>
  <c r="T53" i="1"/>
  <c r="T29" i="1"/>
  <c r="T5" i="1"/>
  <c r="T6" i="1"/>
  <c r="T7" i="1"/>
  <c r="T8" i="1"/>
  <c r="T9" i="1"/>
  <c r="T10" i="1"/>
  <c r="T11" i="1"/>
  <c r="T12" i="1"/>
  <c r="T13" i="1"/>
  <c r="T14" i="1"/>
  <c r="T15" i="1"/>
  <c r="T16" i="1"/>
  <c r="T17" i="1"/>
  <c r="T18" i="1"/>
  <c r="T19" i="1"/>
  <c r="T20" i="1"/>
  <c r="T21" i="1"/>
  <c r="T22" i="1"/>
  <c r="T23" i="1"/>
  <c r="T24" i="1"/>
  <c r="T25" i="1"/>
  <c r="T26" i="1"/>
  <c r="T27" i="1"/>
  <c r="T28" i="1"/>
  <c r="T4" i="1"/>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S14" i="7"/>
  <c r="S13" i="7"/>
  <c r="S12" i="7"/>
  <c r="S11" i="7"/>
  <c r="S10" i="7"/>
  <c r="S9" i="7"/>
  <c r="S8" i="7"/>
  <c r="S7" i="7"/>
  <c r="S6" i="7"/>
  <c r="S5" i="7"/>
  <c r="S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<sst xmlns="http://schemas.openxmlformats.org/spreadsheetml/2006/main" count="1361" uniqueCount="190">
  <si>
    <t>Room
Type</t>
  </si>
  <si>
    <t>Condition
Group</t>
  </si>
  <si>
    <t>Rep
#</t>
  </si>
  <si>
    <t>Lighting
Condition</t>
  </si>
  <si>
    <t>Target
Object</t>
  </si>
  <si>
    <t>Natural Language
Command</t>
  </si>
  <si>
    <t>LLM Extracted
Label</t>
  </si>
  <si>
    <t>Label
Match? (Y/N)</t>
  </si>
  <si>
    <t>LLM
Latency (ms)</t>
  </si>
  <si>
    <t>DINO
Latency (ms)</t>
  </si>
  <si>
    <t>Depth
Latency (ms)</t>
  </si>
  <si>
    <t>Final Dist
to Target (m)</t>
  </si>
  <si>
    <t>Dist
Threshold (m)</t>
  </si>
  <si>
    <t>Trial
Result</t>
  </si>
  <si>
    <t>PASS /
FAIL</t>
  </si>
  <si>
    <t>Observations
&amp; Notes</t>
  </si>
  <si>
    <t>Bright</t>
  </si>
  <si>
    <t>Y</t>
    <phoneticPr fontId="3" type="noConversion"/>
  </si>
  <si>
    <t>Office</t>
    <phoneticPr fontId="3" type="noConversion"/>
  </si>
  <si>
    <t>Cup</t>
    <phoneticPr fontId="3" type="noConversion"/>
  </si>
  <si>
    <t>go to the Cup</t>
    <phoneticPr fontId="3" type="noConversion"/>
  </si>
  <si>
    <t>move to the Cup</t>
    <phoneticPr fontId="3" type="noConversion"/>
  </si>
  <si>
    <t>navigate to the Cup</t>
    <phoneticPr fontId="3" type="noConversion"/>
  </si>
  <si>
    <t>approach the Cup</t>
    <phoneticPr fontId="3" type="noConversion"/>
  </si>
  <si>
    <t>head to the Cup</t>
    <phoneticPr fontId="3" type="noConversion"/>
  </si>
  <si>
    <t>Box</t>
    <phoneticPr fontId="3" type="noConversion"/>
  </si>
  <si>
    <t>Bright</t>
    <phoneticPr fontId="3" type="noConversion"/>
  </si>
  <si>
    <t>Shoe</t>
    <phoneticPr fontId="3" type="noConversion"/>
  </si>
  <si>
    <t>Bag</t>
    <phoneticPr fontId="3" type="noConversion"/>
  </si>
  <si>
    <t>go to the Box</t>
    <phoneticPr fontId="3" type="noConversion"/>
  </si>
  <si>
    <t>move to the Box</t>
    <phoneticPr fontId="3" type="noConversion"/>
  </si>
  <si>
    <t>navigate to the Box</t>
    <phoneticPr fontId="3" type="noConversion"/>
  </si>
  <si>
    <t>approach the Box</t>
    <phoneticPr fontId="3" type="noConversion"/>
  </si>
  <si>
    <t>head to the Box</t>
    <phoneticPr fontId="3" type="noConversion"/>
  </si>
  <si>
    <t>go to the Shoe</t>
    <phoneticPr fontId="3" type="noConversion"/>
  </si>
  <si>
    <t>move to the Shoe</t>
    <phoneticPr fontId="3" type="noConversion"/>
  </si>
  <si>
    <t>navigate to the Shoe</t>
    <phoneticPr fontId="3" type="noConversion"/>
  </si>
  <si>
    <t>approach the Shoe</t>
    <phoneticPr fontId="3" type="noConversion"/>
  </si>
  <si>
    <t>head to the Shoe</t>
    <phoneticPr fontId="3" type="noConversion"/>
  </si>
  <si>
    <t>go to the Bag</t>
    <phoneticPr fontId="3" type="noConversion"/>
  </si>
  <si>
    <t>move to the Bag</t>
    <phoneticPr fontId="3" type="noConversion"/>
  </si>
  <si>
    <t>navigate to the Bag</t>
    <phoneticPr fontId="3" type="noConversion"/>
  </si>
  <si>
    <t>approach the Bag</t>
    <phoneticPr fontId="3" type="noConversion"/>
  </si>
  <si>
    <t>head to the Bag</t>
    <phoneticPr fontId="3" type="noConversion"/>
  </si>
  <si>
    <t>Chair</t>
    <phoneticPr fontId="3" type="noConversion"/>
  </si>
  <si>
    <t>go to the Chair</t>
    <phoneticPr fontId="3" type="noConversion"/>
  </si>
  <si>
    <t>move to the Chair</t>
    <phoneticPr fontId="3" type="noConversion"/>
  </si>
  <si>
    <t>navigate to the Chair</t>
    <phoneticPr fontId="3" type="noConversion"/>
  </si>
  <si>
    <t>approach the Chair</t>
    <phoneticPr fontId="3" type="noConversion"/>
  </si>
  <si>
    <t>head to the Chair</t>
    <phoneticPr fontId="3" type="noConversion"/>
  </si>
  <si>
    <t>Success</t>
    <phoneticPr fontId="3" type="noConversion"/>
  </si>
  <si>
    <t>Nav Total
Latency (ms)</t>
    <phoneticPr fontId="3" type="noConversion"/>
  </si>
  <si>
    <t>Toal time(s)</t>
    <phoneticPr fontId="3" type="noConversion"/>
  </si>
  <si>
    <t>Bedroom</t>
    <phoneticPr fontId="3" type="noConversion"/>
  </si>
  <si>
    <t>Normal</t>
    <phoneticPr fontId="3" type="noConversion"/>
  </si>
  <si>
    <t>Pending</t>
    <phoneticPr fontId="3" type="noConversion"/>
  </si>
  <si>
    <t>800 ± 20 lux</t>
    <phoneticPr fontId="3" type="noConversion"/>
  </si>
  <si>
    <t>Lighting
(lux)(use LightMeterApp)</t>
    <phoneticPr fontId="3" type="noConversion"/>
  </si>
  <si>
    <t>350 ± 20 lux</t>
    <phoneticPr fontId="3" type="noConversion"/>
  </si>
  <si>
    <t>Cup + Bright</t>
    <phoneticPr fontId="3" type="noConversion"/>
  </si>
  <si>
    <t>Box + Bright</t>
    <phoneticPr fontId="3" type="noConversion"/>
  </si>
  <si>
    <t>Shoe + Bright</t>
    <phoneticPr fontId="3" type="noConversion"/>
  </si>
  <si>
    <t>Bag + Bright</t>
    <phoneticPr fontId="3" type="noConversion"/>
  </si>
  <si>
    <t>Chair + Bright</t>
    <phoneticPr fontId="3" type="noConversion"/>
  </si>
  <si>
    <t>Chair + Normal</t>
    <phoneticPr fontId="3" type="noConversion"/>
  </si>
  <si>
    <t>Cup + Normal</t>
    <phoneticPr fontId="3" type="noConversion"/>
  </si>
  <si>
    <t>Box + Normal</t>
    <phoneticPr fontId="3" type="noConversion"/>
  </si>
  <si>
    <t>Shoe + Normal</t>
    <phoneticPr fontId="3" type="noConversion"/>
  </si>
  <si>
    <t>Bag + Normal</t>
    <phoneticPr fontId="3" type="noConversion"/>
  </si>
  <si>
    <t>Report</t>
    <phoneticPr fontId="3" type="noConversion"/>
  </si>
  <si>
    <t>N</t>
    <phoneticPr fontId="3" type="noConversion"/>
  </si>
  <si>
    <t>Success Rate</t>
    <phoneticPr fontId="3" type="noConversion"/>
  </si>
  <si>
    <t>Mean Total Time (s)</t>
    <phoneticPr fontId="3" type="noConversion"/>
  </si>
  <si>
    <t>SD</t>
    <phoneticPr fontId="3" type="noConversion"/>
  </si>
  <si>
    <t>95% CI</t>
    <phoneticPr fontId="3" type="noConversion"/>
  </si>
  <si>
    <t>Mean LLM (ms)</t>
    <phoneticPr fontId="3" type="noConversion"/>
  </si>
  <si>
    <t>Mean DINO (ms)</t>
    <phoneticPr fontId="3" type="noConversion"/>
  </si>
  <si>
    <t>Mean Depth (ms)</t>
    <phoneticPr fontId="3" type="noConversion"/>
  </si>
  <si>
    <t>Mean Nav (ms)</t>
    <phoneticPr fontId="3" type="noConversion"/>
  </si>
  <si>
    <t>Mean Final Dist (m)</t>
    <phoneticPr fontId="3" type="noConversion"/>
  </si>
  <si>
    <t>PuzzleBot LLM–VLM–ROS2  |  Basic Objective Test Plan  (20 Trials)</t>
    <phoneticPr fontId="3" type="noConversion"/>
  </si>
  <si>
    <t>1.826m</t>
    <phoneticPr fontId="3" type="noConversion"/>
  </si>
  <si>
    <t>Trial
#</t>
    <phoneticPr fontId="3" type="noConversion"/>
  </si>
  <si>
    <t>1.LLM Latency (ms): Time taken to convert the natural language command into a structured navigation intent and target label.
2.DINO Latency (ms): Time when the target is successfully detected for the first time
3.Depth Latency (ms): Time when the target was successfully detected for the first time based on depth estimation from the image
4.Nav Total Latency (ms): The total navigation time from receiving the target at the navigation_node and starting navigation to the robot determining whether it has arrived or stopped.
5.Total time (s): Measure the total end-to-end time from the start of the input command to the robot's final stop.
6.Final Dist to Target (m): Measure the straight-line distance between the robot and the actual target object when the robot stops.</t>
    <phoneticPr fontId="3" type="noConversion"/>
  </si>
  <si>
    <t>Object</t>
    <phoneticPr fontId="3" type="noConversion"/>
  </si>
  <si>
    <r>
      <t xml:space="preserve">1.LLM Latency (ms): Time taken to convert the natural language command into a structured navigation intent and target label.
2.DINO Latency (ms): Time when the target is successfully detected for the first time
3.Depth Latency (ms): Time when the target was successfully detected for the first time based on depth estimation from the image
4.Nav Total Latency (ms): The total navigation time from receiving the target at the navigation_node and starting navigation to the robot determining whether it has arrived or stopped.
5.Total time (s): Measure the total end-to-end time from the start of the input command to the robot's final stop.
6.Final Dist to Target (m): Measure the straight-line distance between the robot and the actual target object when the robot stops.
</t>
    </r>
    <r>
      <rPr>
        <sz val="14"/>
        <color rgb="FF000000"/>
        <rFont val="Arial"/>
        <family val="2"/>
      </rPr>
      <t>Pass Criteria: Success to arrive at the target and navigate to within 0.5 m of target</t>
    </r>
    <phoneticPr fontId="3" type="noConversion"/>
  </si>
  <si>
    <t>Distractor Objects</t>
    <phoneticPr fontId="3" type="noConversion"/>
  </si>
  <si>
    <t>Navigated to Correct Target?</t>
    <phoneticPr fontId="3" type="noConversion"/>
  </si>
  <si>
    <t>500 ± 20 lux</t>
    <phoneticPr fontId="3" type="noConversion"/>
  </si>
  <si>
    <t>200 ± 20 lux</t>
    <phoneticPr fontId="3" type="noConversion"/>
  </si>
  <si>
    <t>Failure Reason</t>
    <phoneticPr fontId="3" type="noConversion"/>
  </si>
  <si>
    <t>Chair, Bag, Box</t>
    <phoneticPr fontId="3" type="noConversion"/>
  </si>
  <si>
    <t>23.83s</t>
    <phoneticPr fontId="3" type="noConversion"/>
  </si>
  <si>
    <t>13.58s</t>
    <phoneticPr fontId="3" type="noConversion"/>
  </si>
  <si>
    <t>14.65s</t>
    <phoneticPr fontId="3" type="noConversion"/>
  </si>
  <si>
    <t>15.37s</t>
    <phoneticPr fontId="3" type="noConversion"/>
  </si>
  <si>
    <t>15.48s</t>
    <phoneticPr fontId="3" type="noConversion"/>
  </si>
  <si>
    <t>The first LLM request showed a higher latency due to cold-start overhead. Subsequent intent extraction calls stabilised at around 1.8-2.0 seconds.</t>
    <phoneticPr fontId="3" type="noConversion"/>
  </si>
  <si>
    <t>22.95s</t>
    <phoneticPr fontId="3" type="noConversion"/>
  </si>
  <si>
    <t>18.35s</t>
    <phoneticPr fontId="3" type="noConversion"/>
  </si>
  <si>
    <t>Chair, Bag, Box, Cup</t>
    <phoneticPr fontId="3" type="noConversion"/>
  </si>
  <si>
    <t>19.13s</t>
    <phoneticPr fontId="3" type="noConversion"/>
  </si>
  <si>
    <t>19.28s</t>
    <phoneticPr fontId="3" type="noConversion"/>
  </si>
  <si>
    <t>24.00s</t>
    <phoneticPr fontId="3" type="noConversion"/>
  </si>
  <si>
    <t>Chair, Bag, Shoe, Cup</t>
    <phoneticPr fontId="3" type="noConversion"/>
  </si>
  <si>
    <t>17.78s</t>
    <phoneticPr fontId="3" type="noConversion"/>
  </si>
  <si>
    <t>16.18s</t>
    <phoneticPr fontId="3" type="noConversion"/>
  </si>
  <si>
    <t>16.23s</t>
    <phoneticPr fontId="3" type="noConversion"/>
  </si>
  <si>
    <t>15.38s</t>
    <phoneticPr fontId="3" type="noConversion"/>
  </si>
  <si>
    <t>16.40s</t>
    <phoneticPr fontId="3" type="noConversion"/>
  </si>
  <si>
    <t>Chair, Box, Cup</t>
    <phoneticPr fontId="3" type="noConversion"/>
  </si>
  <si>
    <t>25.08s</t>
    <phoneticPr fontId="3" type="noConversion"/>
  </si>
  <si>
    <t>21.95s</t>
    <phoneticPr fontId="3" type="noConversion"/>
  </si>
  <si>
    <t>23.05s</t>
    <phoneticPr fontId="3" type="noConversion"/>
  </si>
  <si>
    <t>20.98s</t>
    <phoneticPr fontId="3" type="noConversion"/>
  </si>
  <si>
    <t>21.88s</t>
    <phoneticPr fontId="3" type="noConversion"/>
  </si>
  <si>
    <t>PuzzleBot LLM–VLM–ROS2  |  Basic Objective Test Plan  (75 Trials)</t>
    <phoneticPr fontId="3" type="noConversion"/>
  </si>
  <si>
    <t>Notebook</t>
  </si>
  <si>
    <t>Notebook</t>
    <phoneticPr fontId="3" type="noConversion"/>
  </si>
  <si>
    <t>go to the Notebook</t>
    <phoneticPr fontId="3" type="noConversion"/>
  </si>
  <si>
    <t>move to the Notebook</t>
    <phoneticPr fontId="3" type="noConversion"/>
  </si>
  <si>
    <t>navigate to the Notebook</t>
    <phoneticPr fontId="3" type="noConversion"/>
  </si>
  <si>
    <t>approach the Notebook</t>
    <phoneticPr fontId="3" type="noConversion"/>
  </si>
  <si>
    <t>head to the Notebook</t>
    <phoneticPr fontId="3" type="noConversion"/>
  </si>
  <si>
    <t>Chair, Box, Cup, Bag</t>
    <phoneticPr fontId="3" type="noConversion"/>
  </si>
  <si>
    <t>15.43s</t>
    <phoneticPr fontId="3" type="noConversion"/>
  </si>
  <si>
    <t>15.73s</t>
    <phoneticPr fontId="3" type="noConversion"/>
  </si>
  <si>
    <t>15.75s</t>
    <phoneticPr fontId="3" type="noConversion"/>
  </si>
  <si>
    <t>16.29s</t>
    <phoneticPr fontId="3" type="noConversion"/>
  </si>
  <si>
    <t>15.63s</t>
    <phoneticPr fontId="3" type="noConversion"/>
  </si>
  <si>
    <t>15.92s</t>
    <phoneticPr fontId="3" type="noConversion"/>
  </si>
  <si>
    <t>14.05s</t>
    <phoneticPr fontId="3" type="noConversion"/>
  </si>
  <si>
    <t>13.51s</t>
    <phoneticPr fontId="3" type="noConversion"/>
  </si>
  <si>
    <t>14.80s</t>
    <phoneticPr fontId="3" type="noConversion"/>
  </si>
  <si>
    <t>14.10s</t>
    <phoneticPr fontId="3" type="noConversion"/>
  </si>
  <si>
    <t>Box, Chair, Bag, Notebook</t>
    <phoneticPr fontId="3" type="noConversion"/>
  </si>
  <si>
    <t>12.65s</t>
    <phoneticPr fontId="3" type="noConversion"/>
  </si>
  <si>
    <t>13.76s</t>
    <phoneticPr fontId="3" type="noConversion"/>
  </si>
  <si>
    <t>14.13s</t>
    <phoneticPr fontId="3" type="noConversion"/>
  </si>
  <si>
    <t>12.86s</t>
    <phoneticPr fontId="3" type="noConversion"/>
  </si>
  <si>
    <t>13.21s</t>
    <phoneticPr fontId="3" type="noConversion"/>
  </si>
  <si>
    <t>Chair, Bag, Notebook</t>
    <phoneticPr fontId="3" type="noConversion"/>
  </si>
  <si>
    <t>19.95s</t>
    <phoneticPr fontId="3" type="noConversion"/>
  </si>
  <si>
    <t>20.02s</t>
    <phoneticPr fontId="3" type="noConversion"/>
  </si>
  <si>
    <t>19.65s</t>
    <phoneticPr fontId="3" type="noConversion"/>
  </si>
  <si>
    <t>19.25s</t>
    <phoneticPr fontId="3" type="noConversion"/>
  </si>
  <si>
    <t>20.90s</t>
    <phoneticPr fontId="3" type="noConversion"/>
  </si>
  <si>
    <t>19.72s</t>
    <phoneticPr fontId="3" type="noConversion"/>
  </si>
  <si>
    <t>17.53s</t>
    <phoneticPr fontId="3" type="noConversion"/>
  </si>
  <si>
    <t>18.02s</t>
    <phoneticPr fontId="3" type="noConversion"/>
  </si>
  <si>
    <t>17.80s</t>
    <phoneticPr fontId="3" type="noConversion"/>
  </si>
  <si>
    <t>18.43s</t>
    <phoneticPr fontId="3" type="noConversion"/>
  </si>
  <si>
    <t>20.48s</t>
    <phoneticPr fontId="3" type="noConversion"/>
  </si>
  <si>
    <t>18.00s</t>
    <phoneticPr fontId="3" type="noConversion"/>
  </si>
  <si>
    <t>16.43s</t>
    <phoneticPr fontId="3" type="noConversion"/>
  </si>
  <si>
    <t>17.47s</t>
    <phoneticPr fontId="3" type="noConversion"/>
  </si>
  <si>
    <t>Bag, Chair, Box, Notebook</t>
    <phoneticPr fontId="3" type="noConversion"/>
  </si>
  <si>
    <t>24.28s</t>
    <phoneticPr fontId="3" type="noConversion"/>
  </si>
  <si>
    <t>12.85s</t>
    <phoneticPr fontId="3" type="noConversion"/>
  </si>
  <si>
    <t>12.81s</t>
    <phoneticPr fontId="3" type="noConversion"/>
  </si>
  <si>
    <t>12.68s</t>
    <phoneticPr fontId="3" type="noConversion"/>
  </si>
  <si>
    <t>14.68s</t>
    <phoneticPr fontId="3" type="noConversion"/>
  </si>
  <si>
    <t>Bag, Chair, Box, Notebook, Cup</t>
    <phoneticPr fontId="3" type="noConversion"/>
  </si>
  <si>
    <t>20.85s</t>
    <phoneticPr fontId="3" type="noConversion"/>
  </si>
  <si>
    <t>21.13s</t>
    <phoneticPr fontId="3" type="noConversion"/>
  </si>
  <si>
    <t>21.62s</t>
    <phoneticPr fontId="3" type="noConversion"/>
  </si>
  <si>
    <t>22.10s</t>
    <phoneticPr fontId="3" type="noConversion"/>
  </si>
  <si>
    <t>20.13s</t>
    <phoneticPr fontId="3" type="noConversion"/>
  </si>
  <si>
    <t>Bag, Chair, Cup, Notebook</t>
    <phoneticPr fontId="3" type="noConversion"/>
  </si>
  <si>
    <t>24.85s</t>
    <phoneticPr fontId="3" type="noConversion"/>
  </si>
  <si>
    <t>23.02s</t>
    <phoneticPr fontId="3" type="noConversion"/>
  </si>
  <si>
    <t>22.33s</t>
    <phoneticPr fontId="3" type="noConversion"/>
  </si>
  <si>
    <t>22.58s</t>
    <phoneticPr fontId="3" type="noConversion"/>
  </si>
  <si>
    <t>23.10s</t>
    <phoneticPr fontId="3" type="noConversion"/>
  </si>
  <si>
    <t>Box, Chair, Cup, Notebook</t>
    <phoneticPr fontId="3" type="noConversion"/>
  </si>
  <si>
    <t>18.48s</t>
    <phoneticPr fontId="3" type="noConversion"/>
  </si>
  <si>
    <t>17.22s</t>
    <phoneticPr fontId="3" type="noConversion"/>
  </si>
  <si>
    <t>17.68s</t>
    <phoneticPr fontId="3" type="noConversion"/>
  </si>
  <si>
    <t>Box, Chair, Cup, Bag</t>
    <phoneticPr fontId="3" type="noConversion"/>
  </si>
  <si>
    <t>14.15s</t>
    <phoneticPr fontId="3" type="noConversion"/>
  </si>
  <si>
    <t>16.72s</t>
    <phoneticPr fontId="3" type="noConversion"/>
  </si>
  <si>
    <t>16.62s</t>
    <phoneticPr fontId="3" type="noConversion"/>
  </si>
  <si>
    <t>14.62s</t>
    <phoneticPr fontId="3" type="noConversion"/>
  </si>
  <si>
    <t>Chair, Box, Notebook, Cup</t>
  </si>
  <si>
    <t>Chair, Box, Bag, Cup</t>
  </si>
  <si>
    <t>Room: Office
Objects:
Cup, Box, Shoe, Bag, Notebook
Lighting levels:
800 ± 20 lux, 500 ± 20 lux, 200 ± 20 lux
Command templates:
go to X
move to X
navigate to X
approach X
head to X
Total:
3 lighting levels × 5 objects × 5 commands = 75 trials</t>
    <phoneticPr fontId="3" type="noConversion"/>
  </si>
  <si>
    <t>Yes</t>
    <phoneticPr fontId="3" type="noConversion"/>
  </si>
  <si>
    <t>Failures involving the "Bag" target under 500-lux lighting conditions were primarily due to excessive final stopping distances rather than errors in semantic understanding or object recognition. Logs indicate that the LLM correctly identified the bag as the navigation target and that DINO/NCC consistently detected it; the robot's final state was recorded as ARRIVED. However, the navigation node's arrival determination relies not only on a 0.50 m distance threshold but also on visual arrival criteria based on the detection box's area and the position of its bottom edge. When the bag occupied a large area within the image, the system triggered the VISUAL_ARRIVED state and halted while the estimated distance was still approximately 0.7 m. Since the experimental success threshold was set at 0.55 m, this premature stop resulted in a final distance exceeding the threshold, leading to a "FAIL" classification.
The bag is inherently a soft, irregular object; its boundaries and bottom contact points are less stable than those of rigid objects like cups, boxes, or notebooks. Under 500-lux lighting, the detection box for the bag was prone to expanding or encompassing shadows and folds, causing the visual area criterion to be met prematurely—even though the estimated depth had not yet dropped to the 0.50 m stopping threshold. Consequently, while the robot successfully approached the bag, its stopping position was overly conservative; final distances clustered between 0.62 m and 0.69 m, exceeding the 0.55 m success criterion.</t>
    <phoneticPr fontId="3" type="noConversion"/>
  </si>
  <si>
    <t>Light level</t>
    <phoneticPr fontId="3" type="noConversion"/>
  </si>
  <si>
    <t>Overall success rate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</si>
</sst>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sz val="9"/>
      <color rgb="FF000000"/>
      <name val="Arial"/>
    </font>
    <font>
      <b/>
      <sz val="9"/>
      <color rgb="FFFFFFFF"/>
      <name val="Arial"/>
    </font>
    <font>
      <sz val="9"/>
      <name val="宋体"/>
      <family val="3"/>
      <charset val="134"/>
      <scheme val="minor"/>
    </font>
    <font>
      <sz val="9"/>
      <color rgb="FF000000"/>
      <name val="Arial"/>
      <family val="2"/>
    </font>
    <font>
      <b/>
      <sz val="9"/>
      <color rgb="FFFFFFFF"/>
      <name val="Arial"/>
      <family val="2"/>
    </font>
    <font>
      <b/>
      <sz val="13"/>
      <color rgb="FFFFFFFF"/>
      <name val="Arial"/>
      <family val="2"/>
    </font>
    <font>
      <sz val="9"/>
      <color theme="1"/>
      <name val="Arial"/>
      <family val="2"/>
    </font>
    <font>
      <sz val="14"/>
      <color rgb="FF000000"/>
      <name val="Arial"/>
      <family val="2"/>
    </font>
    <font>
      <sz val="9"/>
      <color theme="1"/>
      <name val="Arial"/>
    </font>
    <font>
      <sz val="9"/>
      <color theme="1"/>
      <name val="Arial"/>
      <family val="2"/>
      <charset val="134"/>
    </font>
  </fonts>
  <fills count="11">
    <fill>
      <patternFill patternType="none"/>
    </fill>
    <fill>
      <patternFill patternType="gray125"/>
    </fill>
    <fill>
      <patternFill patternType="solid">
        <fgColor rgb="FF1F4E79"/>
      </patternFill>
    </fill>
    <fill>
      <patternFill patternType="solid">
        <fgColor rgb="FFD6E4F0"/>
      </patternFill>
    </fill>
    <fill>
      <patternFill patternType="solid">
        <fgColor rgb="FF2E75B6"/>
      </patternFill>
    </fill>
    <fill>
      <patternFill patternType="solid">
        <fgColor rgb="FF375623"/>
      </patternFill>
    </fill>
    <fill>
      <patternFill patternType="solid">
        <fgColor theme="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0000"/>
        <bgColor indexed="64"/>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auto="1"/>
      </left>
      <right/>
      <top/>
      <bottom/>
      <diagonal/>
    </border>
    <border>
      <left/>
      <right/>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s>
  <cellStyleXfs count="1">
    <xf numFmtId="0" fontId="0" fillId="0" borderId="0"/>
  </cellStyleXfs>
  <cellXfs count="44">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0" fillId="7" borderId="0" xfId="0" applyFill="1"/>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0" fillId="6" borderId="0" xfId="0" applyFill="1"/>
    <xf numFmtId="0" fontId="1" fillId="6" borderId="1" xfId="0" applyFont="1" applyFill="1" applyBorder="1" applyAlignment="1">
      <alignment horizontal="left" vertical="center"/>
    </xf>
    <xf numFmtId="0" fontId="0" fillId="0" borderId="0" xfId="0" applyAlignment="1">
      <alignment horizontal="center"/>
    </xf>
    <xf numFmtId="0" fontId="4" fillId="7" borderId="1" xfId="0" applyFont="1" applyFill="1" applyBorder="1" applyAlignment="1">
      <alignment horizontal="center" vertical="center" wrapText="1"/>
    </xf>
    <xf numFmtId="9" fontId="4"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left" vertical="center"/>
    </xf>
    <xf numFmtId="0" fontId="9" fillId="6" borderId="1" xfId="0" applyFont="1" applyFill="1" applyBorder="1" applyAlignment="1">
      <alignment horizontal="left" vertical="center"/>
    </xf>
    <xf numFmtId="0" fontId="9"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1" xfId="0" applyFont="1" applyFill="1" applyBorder="1" applyAlignment="1">
      <alignment horizontal="left" vertical="center"/>
    </xf>
    <xf numFmtId="0" fontId="0" fillId="8" borderId="0" xfId="0" applyFill="1"/>
    <xf numFmtId="0" fontId="9" fillId="8" borderId="1" xfId="0" applyFont="1" applyFill="1" applyBorder="1" applyAlignment="1">
      <alignment horizontal="left" vertical="center"/>
    </xf>
    <xf numFmtId="0" fontId="9"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left" vertical="center"/>
    </xf>
    <xf numFmtId="0" fontId="0" fillId="9" borderId="0" xfId="0" applyFill="1"/>
    <xf numFmtId="0" fontId="9" fillId="9" borderId="1" xfId="0" applyFont="1" applyFill="1" applyBorder="1" applyAlignment="1">
      <alignment horizontal="left" vertical="center"/>
    </xf>
    <xf numFmtId="0" fontId="9" fillId="10" borderId="1" xfId="0" applyFont="1" applyFill="1" applyBorder="1" applyAlignment="1">
      <alignment horizontal="center" vertical="center"/>
    </xf>
    <xf numFmtId="0" fontId="10" fillId="9" borderId="1" xfId="0" applyFont="1" applyFill="1" applyBorder="1" applyAlignment="1">
      <alignment horizontal="center" vertical="center"/>
    </xf>
    <xf numFmtId="2" fontId="4" fillId="6" borderId="1" xfId="0" applyNumberFormat="1"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7" fillId="7" borderId="2" xfId="0" applyFont="1" applyFill="1" applyBorder="1" applyAlignment="1">
      <alignment horizontal="left" vertical="center" wrapText="1"/>
    </xf>
    <xf numFmtId="0" fontId="7" fillId="7" borderId="0" xfId="0" applyFont="1" applyFill="1" applyAlignment="1">
      <alignment horizontal="left" vertical="center" wrapText="1"/>
    </xf>
    <xf numFmtId="0" fontId="6" fillId="2" borderId="3" xfId="0" applyFont="1" applyFill="1" applyBorder="1" applyAlignment="1">
      <alignment horizontal="center" vertical="center"/>
    </xf>
    <xf numFmtId="0" fontId="6" fillId="2" borderId="0" xfId="0" applyFont="1" applyFill="1" applyAlignment="1">
      <alignment horizontal="center" vertical="center"/>
    </xf>
    <xf numFmtId="0" fontId="0" fillId="0" borderId="0" xfId="0"/>
    <xf numFmtId="0" fontId="4" fillId="3" borderId="0" xfId="0" applyFont="1" applyFill="1" applyAlignment="1">
      <alignment horizontal="left" vertical="top" wrapText="1"/>
    </xf>
    <xf numFmtId="0" fontId="0" fillId="0" borderId="0" xfId="0" applyAlignment="1">
      <alignment horizontal="lef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71"/>
  <sheetViews>
    <sheetView tabSelected="1" workbookViewId="0">
      <pane ySplit="3" topLeftCell="A4" activePane="bottomLeft" state="frozen"/>
      <selection pane="bottomLeft" activeCell="U18" sqref="U18"/>
    </sheetView>
  </sheetViews>
  <sheetFormatPr defaultRowHeight="14" x14ac:dyDescent="0.25"/>
  <cols>
    <col min="1" max="1" width="10.90625" customWidth="1"/>
    <col min="2" max="3" width="13" customWidth="1"/>
    <col min="4" max="4" width="5" customWidth="1"/>
    <col min="5" max="5" width="13.81640625" customWidth="1"/>
    <col min="6" max="6" width="20.453125" customWidth="1"/>
    <col min="7" max="7" width="13.81640625" customWidth="1"/>
    <col min="8" max="8" width="10" customWidth="1"/>
    <col min="9" max="9" width="22" customWidth="1"/>
    <col min="10" max="10" width="12" customWidth="1"/>
    <col min="11" max="11" width="9" customWidth="1"/>
    <col min="12" max="14" width="10" customWidth="1"/>
    <col min="15" max="15" width="11" customWidth="1"/>
    <col min="16" max="16" width="9" customWidth="1"/>
    <col min="17" max="17" width="13" customWidth="1"/>
    <col min="18" max="18" width="10" customWidth="1"/>
    <col min="19" max="19" width="9" customWidth="1"/>
    <col min="20" max="20" width="8" customWidth="1"/>
    <col min="21" max="21" width="43.36328125" customWidth="1"/>
    <col min="22" max="22" width="28" customWidth="1"/>
  </cols>
  <sheetData>
    <row r="1" spans="1:53" ht="28" customHeight="1" x14ac:dyDescent="0.25">
      <c r="A1" s="40" t="s">
        <v>116</v>
      </c>
      <c r="B1" s="41"/>
      <c r="C1" s="41"/>
      <c r="D1" s="41"/>
      <c r="E1" s="41"/>
      <c r="F1" s="41"/>
      <c r="G1" s="41"/>
      <c r="H1" s="41"/>
      <c r="I1" s="41"/>
      <c r="J1" s="41"/>
      <c r="K1" s="41"/>
      <c r="L1" s="41"/>
      <c r="M1" s="41"/>
      <c r="N1" s="41"/>
      <c r="O1" s="41"/>
      <c r="P1" s="41"/>
      <c r="Q1" s="41"/>
      <c r="R1" s="41"/>
      <c r="S1" s="41"/>
      <c r="T1" s="41"/>
      <c r="U1" s="41"/>
      <c r="V1" s="4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t="91.5" customHeight="1" x14ac:dyDescent="0.25">
      <c r="A2" s="42" t="s">
        <v>85</v>
      </c>
      <c r="B2" s="43"/>
      <c r="C2" s="43"/>
      <c r="D2" s="43"/>
      <c r="E2" s="43"/>
      <c r="F2" s="43"/>
      <c r="G2" s="43"/>
      <c r="H2" s="43"/>
      <c r="I2" s="43"/>
      <c r="J2" s="43"/>
      <c r="K2" s="43"/>
      <c r="L2" s="43"/>
      <c r="M2" s="43"/>
      <c r="N2" s="43"/>
      <c r="O2" s="43"/>
      <c r="P2" s="43"/>
      <c r="Q2" s="43"/>
      <c r="R2" s="43"/>
      <c r="S2" s="43"/>
      <c r="T2" s="43"/>
      <c r="U2" s="43"/>
      <c r="V2" s="43"/>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ht="44" customHeight="1" x14ac:dyDescent="0.25">
      <c r="A3" s="4" t="s">
        <v>82</v>
      </c>
      <c r="B3" s="1" t="s">
        <v>0</v>
      </c>
      <c r="C3" s="1" t="s">
        <v>1</v>
      </c>
      <c r="D3" s="1" t="s">
        <v>2</v>
      </c>
      <c r="E3" s="4" t="s">
        <v>57</v>
      </c>
      <c r="F3" s="4" t="s">
        <v>86</v>
      </c>
      <c r="G3" s="4" t="s">
        <v>87</v>
      </c>
      <c r="H3" s="1" t="s">
        <v>4</v>
      </c>
      <c r="I3" s="1" t="s">
        <v>5</v>
      </c>
      <c r="J3" s="1" t="s">
        <v>6</v>
      </c>
      <c r="K3" s="1" t="s">
        <v>7</v>
      </c>
      <c r="L3" s="2" t="s">
        <v>8</v>
      </c>
      <c r="M3" s="2" t="s">
        <v>9</v>
      </c>
      <c r="N3" s="2" t="s">
        <v>10</v>
      </c>
      <c r="O3" s="3" t="s">
        <v>51</v>
      </c>
      <c r="P3" s="4" t="s">
        <v>52</v>
      </c>
      <c r="Q3" s="1" t="s">
        <v>11</v>
      </c>
      <c r="R3" s="1" t="s">
        <v>12</v>
      </c>
      <c r="S3" s="1" t="s">
        <v>13</v>
      </c>
      <c r="T3" s="1" t="s">
        <v>14</v>
      </c>
      <c r="U3" s="4" t="s">
        <v>90</v>
      </c>
      <c r="V3" s="1" t="s">
        <v>15</v>
      </c>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s="12" customFormat="1" x14ac:dyDescent="0.25">
      <c r="A4" s="17">
        <v>1</v>
      </c>
      <c r="B4" s="18" t="s">
        <v>18</v>
      </c>
      <c r="C4" s="18" t="s">
        <v>19</v>
      </c>
      <c r="D4" s="17">
        <v>1</v>
      </c>
      <c r="E4" s="18" t="s">
        <v>56</v>
      </c>
      <c r="F4" s="18" t="s">
        <v>156</v>
      </c>
      <c r="G4" s="18" t="s">
        <v>186</v>
      </c>
      <c r="H4" s="18" t="s">
        <v>19</v>
      </c>
      <c r="I4" s="19" t="s">
        <v>20</v>
      </c>
      <c r="J4" s="18" t="s">
        <v>19</v>
      </c>
      <c r="K4" s="18" t="s">
        <v>17</v>
      </c>
      <c r="L4" s="18">
        <v>11544</v>
      </c>
      <c r="M4" s="17">
        <v>1502</v>
      </c>
      <c r="N4" s="17">
        <v>82</v>
      </c>
      <c r="O4" s="17">
        <v>13007</v>
      </c>
      <c r="P4" s="18" t="s">
        <v>157</v>
      </c>
      <c r="Q4" s="18">
        <v>0.33100000000000002</v>
      </c>
      <c r="R4" s="17">
        <v>0.55000000000000004</v>
      </c>
      <c r="S4" s="18" t="s">
        <v>50</v>
      </c>
      <c r="T4" s="17" t="str">
        <f>IF(S4="Pending","Pending",IF(AND(S4="Success",Q4&lt;=0.55),"PASS","FAIL"))</f>
        <v>PASS</v>
      </c>
      <c r="U4" s="17"/>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row>
    <row r="5" spans="1:53" s="12" customFormat="1" x14ac:dyDescent="0.25">
      <c r="A5" s="17">
        <v>2</v>
      </c>
      <c r="B5" s="18" t="s">
        <v>18</v>
      </c>
      <c r="C5" s="18" t="s">
        <v>19</v>
      </c>
      <c r="D5" s="17">
        <v>2</v>
      </c>
      <c r="E5" s="18" t="s">
        <v>56</v>
      </c>
      <c r="F5" s="18" t="s">
        <v>156</v>
      </c>
      <c r="G5" s="18" t="s">
        <v>186</v>
      </c>
      <c r="H5" s="18" t="s">
        <v>19</v>
      </c>
      <c r="I5" s="19" t="s">
        <v>21</v>
      </c>
      <c r="J5" s="18" t="s">
        <v>19</v>
      </c>
      <c r="K5" s="18" t="s">
        <v>17</v>
      </c>
      <c r="L5" s="17">
        <v>1888</v>
      </c>
      <c r="M5" s="17">
        <v>370</v>
      </c>
      <c r="N5" s="17">
        <v>56</v>
      </c>
      <c r="O5" s="17">
        <v>10669</v>
      </c>
      <c r="P5" s="18" t="s">
        <v>158</v>
      </c>
      <c r="Q5" s="18">
        <v>0.35499999999999998</v>
      </c>
      <c r="R5" s="17">
        <v>0.55000000000000004</v>
      </c>
      <c r="S5" s="18" t="s">
        <v>50</v>
      </c>
      <c r="T5" s="17" t="str">
        <f t="shared" ref="T5:T28" si="0">IF(S5="Pending","Pending",IF(AND(S5="Success",Q5&lt;=0.55),"PASS","FAIL"))</f>
        <v>PASS</v>
      </c>
      <c r="U5" s="17"/>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row>
    <row r="6" spans="1:53" s="12" customFormat="1" x14ac:dyDescent="0.25">
      <c r="A6" s="17">
        <v>3</v>
      </c>
      <c r="B6" s="18" t="s">
        <v>18</v>
      </c>
      <c r="C6" s="18" t="s">
        <v>19</v>
      </c>
      <c r="D6" s="17">
        <v>3</v>
      </c>
      <c r="E6" s="18" t="s">
        <v>56</v>
      </c>
      <c r="F6" s="18" t="s">
        <v>156</v>
      </c>
      <c r="G6" s="18" t="s">
        <v>186</v>
      </c>
      <c r="H6" s="18" t="s">
        <v>19</v>
      </c>
      <c r="I6" s="19" t="s">
        <v>22</v>
      </c>
      <c r="J6" s="18" t="s">
        <v>19</v>
      </c>
      <c r="K6" s="18" t="s">
        <v>17</v>
      </c>
      <c r="L6" s="17">
        <v>1824</v>
      </c>
      <c r="M6" s="17">
        <v>355</v>
      </c>
      <c r="N6" s="17">
        <v>53</v>
      </c>
      <c r="O6" s="17">
        <v>10732</v>
      </c>
      <c r="P6" s="18" t="s">
        <v>159</v>
      </c>
      <c r="Q6" s="18">
        <v>0.35299999999999998</v>
      </c>
      <c r="R6" s="17">
        <v>0.55000000000000004</v>
      </c>
      <c r="S6" s="18" t="s">
        <v>50</v>
      </c>
      <c r="T6" s="17" t="str">
        <f t="shared" si="0"/>
        <v>PASS</v>
      </c>
      <c r="U6" s="17"/>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row>
    <row r="7" spans="1:53" s="12" customFormat="1" x14ac:dyDescent="0.25">
      <c r="A7" s="17">
        <v>4</v>
      </c>
      <c r="B7" s="18" t="s">
        <v>18</v>
      </c>
      <c r="C7" s="18" t="s">
        <v>19</v>
      </c>
      <c r="D7" s="17">
        <v>4</v>
      </c>
      <c r="E7" s="18" t="s">
        <v>56</v>
      </c>
      <c r="F7" s="18" t="s">
        <v>156</v>
      </c>
      <c r="G7" s="18" t="s">
        <v>186</v>
      </c>
      <c r="H7" s="18" t="s">
        <v>19</v>
      </c>
      <c r="I7" s="19" t="s">
        <v>23</v>
      </c>
      <c r="J7" s="18" t="s">
        <v>19</v>
      </c>
      <c r="K7" s="18" t="s">
        <v>17</v>
      </c>
      <c r="L7" s="17">
        <v>1808</v>
      </c>
      <c r="M7" s="17">
        <v>377</v>
      </c>
      <c r="N7" s="17">
        <v>58</v>
      </c>
      <c r="O7" s="17">
        <v>10587</v>
      </c>
      <c r="P7" s="18" t="s">
        <v>160</v>
      </c>
      <c r="Q7" s="18">
        <v>0.33600000000000002</v>
      </c>
      <c r="R7" s="17">
        <v>0.55000000000000004</v>
      </c>
      <c r="S7" s="18" t="s">
        <v>50</v>
      </c>
      <c r="T7" s="17" t="str">
        <f t="shared" si="0"/>
        <v>PASS</v>
      </c>
      <c r="U7" s="17"/>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row>
    <row r="8" spans="1:53" s="12" customFormat="1" x14ac:dyDescent="0.25">
      <c r="A8" s="17">
        <v>5</v>
      </c>
      <c r="B8" s="18" t="s">
        <v>18</v>
      </c>
      <c r="C8" s="18" t="s">
        <v>19</v>
      </c>
      <c r="D8" s="17">
        <v>5</v>
      </c>
      <c r="E8" s="18" t="s">
        <v>56</v>
      </c>
      <c r="F8" s="18" t="s">
        <v>156</v>
      </c>
      <c r="G8" s="18" t="s">
        <v>186</v>
      </c>
      <c r="H8" s="18" t="s">
        <v>19</v>
      </c>
      <c r="I8" s="19" t="s">
        <v>24</v>
      </c>
      <c r="J8" s="18" t="s">
        <v>19</v>
      </c>
      <c r="K8" s="18" t="s">
        <v>17</v>
      </c>
      <c r="L8" s="17">
        <v>1794</v>
      </c>
      <c r="M8" s="17">
        <v>329</v>
      </c>
      <c r="N8" s="17">
        <v>55</v>
      </c>
      <c r="O8" s="17">
        <v>12590</v>
      </c>
      <c r="P8" s="18" t="s">
        <v>161</v>
      </c>
      <c r="Q8" s="18">
        <v>0.125</v>
      </c>
      <c r="R8" s="17">
        <v>0.55000000000000004</v>
      </c>
      <c r="S8" s="18" t="s">
        <v>50</v>
      </c>
      <c r="T8" s="17" t="str">
        <f t="shared" si="0"/>
        <v>PASS</v>
      </c>
      <c r="U8" s="17"/>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row>
    <row r="9" spans="1:53" s="12" customFormat="1" x14ac:dyDescent="0.25">
      <c r="A9" s="17">
        <v>6</v>
      </c>
      <c r="B9" s="18" t="s">
        <v>18</v>
      </c>
      <c r="C9" s="18" t="s">
        <v>27</v>
      </c>
      <c r="D9" s="17">
        <v>1</v>
      </c>
      <c r="E9" s="18" t="s">
        <v>56</v>
      </c>
      <c r="F9" s="18" t="s">
        <v>162</v>
      </c>
      <c r="G9" s="18" t="s">
        <v>186</v>
      </c>
      <c r="H9" s="18" t="s">
        <v>27</v>
      </c>
      <c r="I9" s="19" t="s">
        <v>34</v>
      </c>
      <c r="J9" s="18" t="s">
        <v>27</v>
      </c>
      <c r="K9" s="18" t="s">
        <v>17</v>
      </c>
      <c r="L9" s="17">
        <v>1969</v>
      </c>
      <c r="M9" s="17">
        <v>371</v>
      </c>
      <c r="N9" s="17">
        <v>56</v>
      </c>
      <c r="O9" s="17">
        <v>18416</v>
      </c>
      <c r="P9" s="18" t="s">
        <v>163</v>
      </c>
      <c r="Q9" s="18">
        <v>0.25</v>
      </c>
      <c r="R9" s="17">
        <v>0.55000000000000004</v>
      </c>
      <c r="S9" s="18" t="s">
        <v>50</v>
      </c>
      <c r="T9" s="17" t="str">
        <f t="shared" si="0"/>
        <v>PASS</v>
      </c>
      <c r="U9" s="17"/>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row>
    <row r="10" spans="1:53" s="12" customFormat="1" x14ac:dyDescent="0.25">
      <c r="A10" s="17">
        <v>7</v>
      </c>
      <c r="B10" s="18" t="s">
        <v>18</v>
      </c>
      <c r="C10" s="18" t="s">
        <v>27</v>
      </c>
      <c r="D10" s="17">
        <v>2</v>
      </c>
      <c r="E10" s="18" t="s">
        <v>56</v>
      </c>
      <c r="F10" s="18" t="s">
        <v>162</v>
      </c>
      <c r="G10" s="18" t="s">
        <v>186</v>
      </c>
      <c r="H10" s="18" t="s">
        <v>27</v>
      </c>
      <c r="I10" s="19" t="s">
        <v>35</v>
      </c>
      <c r="J10" s="18" t="s">
        <v>27</v>
      </c>
      <c r="K10" s="18" t="s">
        <v>17</v>
      </c>
      <c r="L10" s="17">
        <v>1950</v>
      </c>
      <c r="M10" s="17">
        <v>339</v>
      </c>
      <c r="N10" s="17">
        <v>54</v>
      </c>
      <c r="O10" s="17">
        <v>18898</v>
      </c>
      <c r="P10" s="18" t="s">
        <v>164</v>
      </c>
      <c r="Q10" s="18">
        <v>0.20399999999999999</v>
      </c>
      <c r="R10" s="17">
        <v>0.55000000000000004</v>
      </c>
      <c r="S10" s="18" t="s">
        <v>50</v>
      </c>
      <c r="T10" s="17" t="str">
        <f t="shared" si="0"/>
        <v>PASS</v>
      </c>
      <c r="U10" s="17"/>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row>
    <row r="11" spans="1:53" s="12" customFormat="1" x14ac:dyDescent="0.25">
      <c r="A11" s="17">
        <v>8</v>
      </c>
      <c r="B11" s="18" t="s">
        <v>18</v>
      </c>
      <c r="C11" s="18" t="s">
        <v>27</v>
      </c>
      <c r="D11" s="17">
        <v>3</v>
      </c>
      <c r="E11" s="18" t="s">
        <v>56</v>
      </c>
      <c r="F11" s="18" t="s">
        <v>162</v>
      </c>
      <c r="G11" s="18" t="s">
        <v>186</v>
      </c>
      <c r="H11" s="18" t="s">
        <v>27</v>
      </c>
      <c r="I11" s="19" t="s">
        <v>36</v>
      </c>
      <c r="J11" s="18" t="s">
        <v>27</v>
      </c>
      <c r="K11" s="18" t="s">
        <v>17</v>
      </c>
      <c r="L11" s="17">
        <v>1958</v>
      </c>
      <c r="M11" s="17">
        <v>377</v>
      </c>
      <c r="N11" s="17">
        <v>58</v>
      </c>
      <c r="O11" s="17">
        <v>19268</v>
      </c>
      <c r="P11" s="18" t="s">
        <v>165</v>
      </c>
      <c r="Q11" s="18">
        <v>0.16800000000000001</v>
      </c>
      <c r="R11" s="17">
        <v>0.55000000000000004</v>
      </c>
      <c r="S11" s="18" t="s">
        <v>50</v>
      </c>
      <c r="T11" s="17" t="str">
        <f t="shared" si="0"/>
        <v>PASS</v>
      </c>
      <c r="U11" s="17"/>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row>
    <row r="12" spans="1:53" s="12" customFormat="1" x14ac:dyDescent="0.25">
      <c r="A12" s="17">
        <v>9</v>
      </c>
      <c r="B12" s="18" t="s">
        <v>18</v>
      </c>
      <c r="C12" s="18" t="s">
        <v>27</v>
      </c>
      <c r="D12" s="17">
        <v>4</v>
      </c>
      <c r="E12" s="18" t="s">
        <v>56</v>
      </c>
      <c r="F12" s="18" t="s">
        <v>162</v>
      </c>
      <c r="G12" s="18" t="s">
        <v>186</v>
      </c>
      <c r="H12" s="18" t="s">
        <v>27</v>
      </c>
      <c r="I12" s="19" t="s">
        <v>37</v>
      </c>
      <c r="J12" s="18" t="s">
        <v>27</v>
      </c>
      <c r="K12" s="18" t="s">
        <v>17</v>
      </c>
      <c r="L12" s="17">
        <v>1910</v>
      </c>
      <c r="M12" s="17">
        <v>367</v>
      </c>
      <c r="N12" s="17">
        <v>55</v>
      </c>
      <c r="O12" s="17">
        <v>19946</v>
      </c>
      <c r="P12" s="18" t="s">
        <v>166</v>
      </c>
      <c r="Q12" s="18">
        <v>0.16</v>
      </c>
      <c r="R12" s="17">
        <v>0.55000000000000004</v>
      </c>
      <c r="S12" s="18" t="s">
        <v>50</v>
      </c>
      <c r="T12" s="17" t="str">
        <f t="shared" si="0"/>
        <v>PASS</v>
      </c>
      <c r="U12" s="17"/>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row>
    <row r="13" spans="1:53" s="12" customFormat="1" x14ac:dyDescent="0.25">
      <c r="A13" s="17">
        <v>10</v>
      </c>
      <c r="B13" s="18" t="s">
        <v>18</v>
      </c>
      <c r="C13" s="18" t="s">
        <v>27</v>
      </c>
      <c r="D13" s="17">
        <v>5</v>
      </c>
      <c r="E13" s="18" t="s">
        <v>56</v>
      </c>
      <c r="F13" s="18" t="s">
        <v>162</v>
      </c>
      <c r="G13" s="18" t="s">
        <v>186</v>
      </c>
      <c r="H13" s="18" t="s">
        <v>27</v>
      </c>
      <c r="I13" s="19" t="s">
        <v>38</v>
      </c>
      <c r="J13" s="18" t="s">
        <v>27</v>
      </c>
      <c r="K13" s="18" t="s">
        <v>17</v>
      </c>
      <c r="L13" s="17">
        <v>1823</v>
      </c>
      <c r="M13" s="17">
        <v>374</v>
      </c>
      <c r="N13" s="17">
        <v>58</v>
      </c>
      <c r="O13" s="17">
        <v>17881</v>
      </c>
      <c r="P13" s="18" t="s">
        <v>167</v>
      </c>
      <c r="Q13" s="18">
        <v>0.33400000000000002</v>
      </c>
      <c r="R13" s="17">
        <v>0.55000000000000004</v>
      </c>
      <c r="S13" s="18" t="s">
        <v>50</v>
      </c>
      <c r="T13" s="17" t="str">
        <f t="shared" si="0"/>
        <v>PASS</v>
      </c>
      <c r="U13" s="17"/>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row>
    <row r="14" spans="1:53" s="12" customFormat="1" x14ac:dyDescent="0.25">
      <c r="A14" s="17">
        <v>11</v>
      </c>
      <c r="B14" s="18" t="s">
        <v>18</v>
      </c>
      <c r="C14" s="18" t="s">
        <v>25</v>
      </c>
      <c r="D14" s="17">
        <v>1</v>
      </c>
      <c r="E14" s="18" t="s">
        <v>56</v>
      </c>
      <c r="F14" s="18" t="s">
        <v>168</v>
      </c>
      <c r="G14" s="18" t="s">
        <v>186</v>
      </c>
      <c r="H14" s="18" t="s">
        <v>25</v>
      </c>
      <c r="I14" s="19" t="s">
        <v>29</v>
      </c>
      <c r="J14" s="18" t="s">
        <v>25</v>
      </c>
      <c r="K14" s="18" t="s">
        <v>17</v>
      </c>
      <c r="L14" s="17">
        <v>1808</v>
      </c>
      <c r="M14" s="17">
        <v>378</v>
      </c>
      <c r="N14" s="17">
        <v>63</v>
      </c>
      <c r="O14" s="17">
        <v>22452</v>
      </c>
      <c r="P14" s="18" t="s">
        <v>169</v>
      </c>
      <c r="Q14" s="18">
        <v>0.33900000000000002</v>
      </c>
      <c r="R14" s="17">
        <v>0.55000000000000004</v>
      </c>
      <c r="S14" s="18" t="s">
        <v>50</v>
      </c>
      <c r="T14" s="17" t="str">
        <f t="shared" si="0"/>
        <v>PASS</v>
      </c>
      <c r="U14" s="17"/>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row>
    <row r="15" spans="1:53" s="12" customFormat="1" x14ac:dyDescent="0.25">
      <c r="A15" s="17">
        <v>12</v>
      </c>
      <c r="B15" s="18" t="s">
        <v>18</v>
      </c>
      <c r="C15" s="18" t="s">
        <v>25</v>
      </c>
      <c r="D15" s="17">
        <v>2</v>
      </c>
      <c r="E15" s="18" t="s">
        <v>56</v>
      </c>
      <c r="F15" s="18" t="s">
        <v>168</v>
      </c>
      <c r="G15" s="18" t="s">
        <v>186</v>
      </c>
      <c r="H15" s="18" t="s">
        <v>25</v>
      </c>
      <c r="I15" s="19" t="s">
        <v>30</v>
      </c>
      <c r="J15" s="18" t="s">
        <v>25</v>
      </c>
      <c r="K15" s="18" t="s">
        <v>17</v>
      </c>
      <c r="L15" s="17">
        <v>1806</v>
      </c>
      <c r="M15" s="17">
        <v>372</v>
      </c>
      <c r="N15" s="17">
        <v>58</v>
      </c>
      <c r="O15" s="17">
        <v>20823</v>
      </c>
      <c r="P15" s="18" t="s">
        <v>170</v>
      </c>
      <c r="Q15" s="18">
        <v>0.41299999999999998</v>
      </c>
      <c r="R15" s="17">
        <v>0.55000000000000004</v>
      </c>
      <c r="S15" s="18" t="s">
        <v>50</v>
      </c>
      <c r="T15" s="17" t="str">
        <f t="shared" si="0"/>
        <v>PASS</v>
      </c>
      <c r="U15" s="17"/>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row>
    <row r="16" spans="1:53" s="12" customFormat="1" x14ac:dyDescent="0.25">
      <c r="A16" s="17">
        <v>13</v>
      </c>
      <c r="B16" s="18" t="s">
        <v>18</v>
      </c>
      <c r="C16" s="18" t="s">
        <v>25</v>
      </c>
      <c r="D16" s="17">
        <v>3</v>
      </c>
      <c r="E16" s="18" t="s">
        <v>56</v>
      </c>
      <c r="F16" s="18" t="s">
        <v>168</v>
      </c>
      <c r="G16" s="18" t="s">
        <v>186</v>
      </c>
      <c r="H16" s="18" t="s">
        <v>25</v>
      </c>
      <c r="I16" s="19" t="s">
        <v>31</v>
      </c>
      <c r="J16" s="18" t="s">
        <v>25</v>
      </c>
      <c r="K16" s="18" t="s">
        <v>17</v>
      </c>
      <c r="L16" s="17">
        <v>1828</v>
      </c>
      <c r="M16" s="17">
        <v>381</v>
      </c>
      <c r="N16" s="17">
        <v>60</v>
      </c>
      <c r="O16" s="17">
        <v>20061</v>
      </c>
      <c r="P16" s="18" t="s">
        <v>171</v>
      </c>
      <c r="Q16" s="18">
        <v>0.36599999999999999</v>
      </c>
      <c r="R16" s="17">
        <v>0.55000000000000004</v>
      </c>
      <c r="S16" s="18" t="s">
        <v>50</v>
      </c>
      <c r="T16" s="17" t="str">
        <f t="shared" si="0"/>
        <v>PASS</v>
      </c>
      <c r="U16" s="17"/>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row>
    <row r="17" spans="1:53" s="12" customFormat="1" x14ac:dyDescent="0.25">
      <c r="A17" s="17">
        <v>14</v>
      </c>
      <c r="B17" s="18" t="s">
        <v>18</v>
      </c>
      <c r="C17" s="18" t="s">
        <v>25</v>
      </c>
      <c r="D17" s="17">
        <v>4</v>
      </c>
      <c r="E17" s="18" t="s">
        <v>56</v>
      </c>
      <c r="F17" s="18" t="s">
        <v>168</v>
      </c>
      <c r="G17" s="18" t="s">
        <v>186</v>
      </c>
      <c r="H17" s="18" t="s">
        <v>25</v>
      </c>
      <c r="I17" s="19" t="s">
        <v>32</v>
      </c>
      <c r="J17" s="18" t="s">
        <v>25</v>
      </c>
      <c r="K17" s="18" t="s">
        <v>17</v>
      </c>
      <c r="L17" s="17">
        <v>1782</v>
      </c>
      <c r="M17" s="17">
        <v>383</v>
      </c>
      <c r="N17" s="17">
        <v>61</v>
      </c>
      <c r="O17" s="17">
        <v>20538</v>
      </c>
      <c r="P17" s="18" t="s">
        <v>172</v>
      </c>
      <c r="Q17" s="18">
        <v>0.318</v>
      </c>
      <c r="R17" s="17">
        <v>0.55000000000000004</v>
      </c>
      <c r="S17" s="18" t="s">
        <v>50</v>
      </c>
      <c r="T17" s="17" t="str">
        <f t="shared" si="0"/>
        <v>PASS</v>
      </c>
      <c r="U17" s="17"/>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row>
    <row r="18" spans="1:53" s="12" customFormat="1" x14ac:dyDescent="0.25">
      <c r="A18" s="17">
        <v>15</v>
      </c>
      <c r="B18" s="18" t="s">
        <v>18</v>
      </c>
      <c r="C18" s="18" t="s">
        <v>25</v>
      </c>
      <c r="D18" s="17">
        <v>5</v>
      </c>
      <c r="E18" s="18" t="s">
        <v>56</v>
      </c>
      <c r="F18" s="18" t="s">
        <v>168</v>
      </c>
      <c r="G18" s="18" t="s">
        <v>186</v>
      </c>
      <c r="H18" s="18" t="s">
        <v>25</v>
      </c>
      <c r="I18" s="19" t="s">
        <v>33</v>
      </c>
      <c r="J18" s="18" t="s">
        <v>25</v>
      </c>
      <c r="K18" s="18" t="s">
        <v>17</v>
      </c>
      <c r="L18" s="17">
        <v>1808</v>
      </c>
      <c r="M18" s="17">
        <v>381</v>
      </c>
      <c r="N18" s="17">
        <v>61</v>
      </c>
      <c r="O18" s="17">
        <v>20901</v>
      </c>
      <c r="P18" s="18" t="s">
        <v>173</v>
      </c>
      <c r="Q18" s="18">
        <v>0.39400000000000002</v>
      </c>
      <c r="R18" s="17">
        <v>0.55000000000000004</v>
      </c>
      <c r="S18" s="18" t="s">
        <v>50</v>
      </c>
      <c r="T18" s="17" t="str">
        <f t="shared" si="0"/>
        <v>PASS</v>
      </c>
      <c r="U18" s="17"/>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row>
    <row r="19" spans="1:53" s="12" customFormat="1" x14ac:dyDescent="0.25">
      <c r="A19" s="17">
        <v>16</v>
      </c>
      <c r="B19" s="18" t="s">
        <v>18</v>
      </c>
      <c r="C19" s="18" t="s">
        <v>28</v>
      </c>
      <c r="D19" s="17">
        <v>1</v>
      </c>
      <c r="E19" s="18" t="s">
        <v>56</v>
      </c>
      <c r="F19" s="18" t="s">
        <v>174</v>
      </c>
      <c r="G19" s="18" t="s">
        <v>186</v>
      </c>
      <c r="H19" s="18" t="s">
        <v>28</v>
      </c>
      <c r="I19" s="19" t="s">
        <v>39</v>
      </c>
      <c r="J19" s="18" t="s">
        <v>28</v>
      </c>
      <c r="K19" s="18" t="s">
        <v>17</v>
      </c>
      <c r="L19" s="17">
        <v>2248</v>
      </c>
      <c r="M19" s="17">
        <v>810</v>
      </c>
      <c r="N19" s="17">
        <v>81</v>
      </c>
      <c r="O19" s="17">
        <v>17090</v>
      </c>
      <c r="P19" s="18" t="s">
        <v>147</v>
      </c>
      <c r="Q19" s="18">
        <v>0.48699999999999999</v>
      </c>
      <c r="R19" s="17">
        <v>0.55000000000000004</v>
      </c>
      <c r="S19" s="18" t="s">
        <v>50</v>
      </c>
      <c r="T19" s="17" t="str">
        <f t="shared" si="0"/>
        <v>PASS</v>
      </c>
      <c r="U19" s="17"/>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row>
    <row r="20" spans="1:53" s="12" customFormat="1" x14ac:dyDescent="0.25">
      <c r="A20" s="17">
        <v>17</v>
      </c>
      <c r="B20" s="18" t="s">
        <v>18</v>
      </c>
      <c r="C20" s="18" t="s">
        <v>28</v>
      </c>
      <c r="D20" s="17">
        <v>2</v>
      </c>
      <c r="E20" s="18" t="s">
        <v>56</v>
      </c>
      <c r="F20" s="18" t="s">
        <v>174</v>
      </c>
      <c r="G20" s="18" t="s">
        <v>186</v>
      </c>
      <c r="H20" s="18" t="s">
        <v>28</v>
      </c>
      <c r="I20" s="19" t="s">
        <v>40</v>
      </c>
      <c r="J20" s="18" t="s">
        <v>28</v>
      </c>
      <c r="K20" s="18" t="s">
        <v>17</v>
      </c>
      <c r="L20" s="17">
        <v>2173</v>
      </c>
      <c r="M20" s="17">
        <v>368</v>
      </c>
      <c r="N20" s="17">
        <v>57</v>
      </c>
      <c r="O20" s="17">
        <v>14579</v>
      </c>
      <c r="P20" s="18" t="s">
        <v>176</v>
      </c>
      <c r="Q20" s="18">
        <v>0.51600000000000001</v>
      </c>
      <c r="R20" s="17">
        <v>0.55000000000000004</v>
      </c>
      <c r="S20" s="18" t="s">
        <v>50</v>
      </c>
      <c r="T20" s="17" t="str">
        <f t="shared" si="0"/>
        <v>PASS</v>
      </c>
      <c r="U20" s="17"/>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row>
    <row r="21" spans="1:53" s="12" customFormat="1" x14ac:dyDescent="0.25">
      <c r="A21" s="17">
        <v>18</v>
      </c>
      <c r="B21" s="18" t="s">
        <v>18</v>
      </c>
      <c r="C21" s="18" t="s">
        <v>28</v>
      </c>
      <c r="D21" s="17">
        <v>3</v>
      </c>
      <c r="E21" s="18" t="s">
        <v>56</v>
      </c>
      <c r="F21" s="18" t="s">
        <v>174</v>
      </c>
      <c r="G21" s="18" t="s">
        <v>186</v>
      </c>
      <c r="H21" s="18" t="s">
        <v>28</v>
      </c>
      <c r="I21" s="19" t="s">
        <v>41</v>
      </c>
      <c r="J21" s="18" t="s">
        <v>28</v>
      </c>
      <c r="K21" s="18" t="s">
        <v>17</v>
      </c>
      <c r="L21" s="17">
        <v>1866</v>
      </c>
      <c r="M21" s="17">
        <v>375</v>
      </c>
      <c r="N21" s="17">
        <v>56</v>
      </c>
      <c r="O21" s="17">
        <v>16032</v>
      </c>
      <c r="P21" s="18" t="s">
        <v>175</v>
      </c>
      <c r="Q21" s="18">
        <v>0.501</v>
      </c>
      <c r="R21" s="17">
        <v>0.55000000000000004</v>
      </c>
      <c r="S21" s="18" t="s">
        <v>50</v>
      </c>
      <c r="T21" s="17" t="str">
        <f t="shared" si="0"/>
        <v>PASS</v>
      </c>
      <c r="U21" s="17"/>
      <c r="V21" s="20"/>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row>
    <row r="22" spans="1:53" s="12" customFormat="1" x14ac:dyDescent="0.25">
      <c r="A22" s="17">
        <v>19</v>
      </c>
      <c r="B22" s="18" t="s">
        <v>18</v>
      </c>
      <c r="C22" s="18" t="s">
        <v>28</v>
      </c>
      <c r="D22" s="17">
        <v>4</v>
      </c>
      <c r="E22" s="18" t="s">
        <v>56</v>
      </c>
      <c r="F22" s="18" t="s">
        <v>174</v>
      </c>
      <c r="G22" s="18" t="s">
        <v>186</v>
      </c>
      <c r="H22" s="18" t="s">
        <v>28</v>
      </c>
      <c r="I22" s="19" t="s">
        <v>42</v>
      </c>
      <c r="J22" s="18" t="s">
        <v>28</v>
      </c>
      <c r="K22" s="18" t="s">
        <v>17</v>
      </c>
      <c r="L22" s="17">
        <v>1820</v>
      </c>
      <c r="M22" s="17">
        <v>375</v>
      </c>
      <c r="N22" s="17">
        <v>58</v>
      </c>
      <c r="O22" s="17">
        <v>15257</v>
      </c>
      <c r="P22" s="18" t="s">
        <v>155</v>
      </c>
      <c r="Q22" s="18">
        <v>0.54200000000000004</v>
      </c>
      <c r="R22" s="17">
        <v>0.55000000000000004</v>
      </c>
      <c r="S22" s="18" t="s">
        <v>50</v>
      </c>
      <c r="T22" s="17" t="str">
        <f t="shared" si="0"/>
        <v>PASS</v>
      </c>
      <c r="U22" s="17"/>
      <c r="V22" s="20"/>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row>
    <row r="23" spans="1:53" s="12" customFormat="1" x14ac:dyDescent="0.25">
      <c r="A23" s="17">
        <v>20</v>
      </c>
      <c r="B23" s="18" t="s">
        <v>18</v>
      </c>
      <c r="C23" s="18" t="s">
        <v>28</v>
      </c>
      <c r="D23" s="17">
        <v>5</v>
      </c>
      <c r="E23" s="18" t="s">
        <v>56</v>
      </c>
      <c r="F23" s="18" t="s">
        <v>174</v>
      </c>
      <c r="G23" s="18" t="s">
        <v>186</v>
      </c>
      <c r="H23" s="18" t="s">
        <v>28</v>
      </c>
      <c r="I23" s="19" t="s">
        <v>43</v>
      </c>
      <c r="J23" s="18" t="s">
        <v>28</v>
      </c>
      <c r="K23" s="18" t="s">
        <v>17</v>
      </c>
      <c r="L23" s="17">
        <v>1766</v>
      </c>
      <c r="M23" s="17">
        <v>373</v>
      </c>
      <c r="N23" s="17">
        <v>56</v>
      </c>
      <c r="O23" s="17">
        <v>15691</v>
      </c>
      <c r="P23" s="18" t="s">
        <v>177</v>
      </c>
      <c r="Q23" s="18">
        <v>0.504</v>
      </c>
      <c r="R23" s="17">
        <v>0.55000000000000004</v>
      </c>
      <c r="S23" s="18" t="s">
        <v>50</v>
      </c>
      <c r="T23" s="17" t="str">
        <f t="shared" si="0"/>
        <v>PASS</v>
      </c>
      <c r="U23" s="17"/>
      <c r="V23" s="20"/>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row>
    <row r="24" spans="1:53" s="12" customFormat="1" x14ac:dyDescent="0.25">
      <c r="A24" s="17">
        <v>21</v>
      </c>
      <c r="B24" s="18" t="s">
        <v>18</v>
      </c>
      <c r="C24" s="18" t="s">
        <v>118</v>
      </c>
      <c r="D24" s="17">
        <v>1</v>
      </c>
      <c r="E24" s="18" t="s">
        <v>56</v>
      </c>
      <c r="F24" s="18" t="s">
        <v>178</v>
      </c>
      <c r="G24" s="18" t="s">
        <v>186</v>
      </c>
      <c r="H24" s="18" t="s">
        <v>118</v>
      </c>
      <c r="I24" s="19" t="s">
        <v>119</v>
      </c>
      <c r="J24" s="18" t="s">
        <v>118</v>
      </c>
      <c r="K24" s="18" t="s">
        <v>17</v>
      </c>
      <c r="L24" s="18">
        <v>1832</v>
      </c>
      <c r="M24" s="17">
        <v>368</v>
      </c>
      <c r="N24" s="17">
        <v>57</v>
      </c>
      <c r="O24" s="17">
        <v>11787</v>
      </c>
      <c r="P24" s="18" t="s">
        <v>182</v>
      </c>
      <c r="Q24" s="18">
        <v>0.46</v>
      </c>
      <c r="R24" s="17">
        <v>0.55000000000000004</v>
      </c>
      <c r="S24" s="18" t="s">
        <v>50</v>
      </c>
      <c r="T24" s="17" t="str">
        <f t="shared" si="0"/>
        <v>PASS</v>
      </c>
      <c r="U24" s="17"/>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row>
    <row r="25" spans="1:53" s="12" customFormat="1" x14ac:dyDescent="0.25">
      <c r="A25" s="17">
        <v>22</v>
      </c>
      <c r="B25" s="18" t="s">
        <v>18</v>
      </c>
      <c r="C25" s="18" t="s">
        <v>118</v>
      </c>
      <c r="D25" s="17">
        <v>2</v>
      </c>
      <c r="E25" s="18" t="s">
        <v>56</v>
      </c>
      <c r="F25" s="18" t="s">
        <v>178</v>
      </c>
      <c r="G25" s="18" t="s">
        <v>186</v>
      </c>
      <c r="H25" s="18" t="s">
        <v>118</v>
      </c>
      <c r="I25" s="19" t="s">
        <v>120</v>
      </c>
      <c r="J25" s="18" t="s">
        <v>118</v>
      </c>
      <c r="K25" s="18" t="s">
        <v>17</v>
      </c>
      <c r="L25" s="17">
        <v>1791</v>
      </c>
      <c r="M25" s="17">
        <v>372</v>
      </c>
      <c r="N25" s="17">
        <v>56</v>
      </c>
      <c r="O25" s="17">
        <v>13383</v>
      </c>
      <c r="P25" s="18" t="s">
        <v>129</v>
      </c>
      <c r="Q25" s="18">
        <v>0.46700000000000003</v>
      </c>
      <c r="R25" s="17">
        <v>0.55000000000000004</v>
      </c>
      <c r="S25" s="18" t="s">
        <v>50</v>
      </c>
      <c r="T25" s="17" t="str">
        <f t="shared" si="0"/>
        <v>PASS</v>
      </c>
      <c r="U25" s="17"/>
      <c r="V25" s="20"/>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row>
    <row r="26" spans="1:53" s="12" customFormat="1" x14ac:dyDescent="0.25">
      <c r="A26" s="17">
        <v>23</v>
      </c>
      <c r="B26" s="18" t="s">
        <v>18</v>
      </c>
      <c r="C26" s="18" t="s">
        <v>118</v>
      </c>
      <c r="D26" s="17">
        <v>3</v>
      </c>
      <c r="E26" s="18" t="s">
        <v>56</v>
      </c>
      <c r="F26" s="18" t="s">
        <v>178</v>
      </c>
      <c r="G26" s="18" t="s">
        <v>186</v>
      </c>
      <c r="H26" s="18" t="s">
        <v>118</v>
      </c>
      <c r="I26" s="19" t="s">
        <v>121</v>
      </c>
      <c r="J26" s="18" t="s">
        <v>118</v>
      </c>
      <c r="K26" s="18" t="s">
        <v>17</v>
      </c>
      <c r="L26" s="17">
        <v>1767</v>
      </c>
      <c r="M26" s="17">
        <v>365</v>
      </c>
      <c r="N26" s="17">
        <v>57</v>
      </c>
      <c r="O26" s="17">
        <v>11583</v>
      </c>
      <c r="P26" s="18" t="s">
        <v>179</v>
      </c>
      <c r="Q26" s="18">
        <v>0.46800000000000003</v>
      </c>
      <c r="R26" s="17">
        <v>0.55000000000000004</v>
      </c>
      <c r="S26" s="18" t="s">
        <v>50</v>
      </c>
      <c r="T26" s="17" t="str">
        <f t="shared" si="0"/>
        <v>PASS</v>
      </c>
      <c r="U26" s="17"/>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row>
    <row r="27" spans="1:53" s="12" customFormat="1" x14ac:dyDescent="0.25">
      <c r="A27" s="17">
        <v>24</v>
      </c>
      <c r="B27" s="18" t="s">
        <v>18</v>
      </c>
      <c r="C27" s="18" t="s">
        <v>118</v>
      </c>
      <c r="D27" s="17">
        <v>4</v>
      </c>
      <c r="E27" s="18" t="s">
        <v>56</v>
      </c>
      <c r="F27" s="18" t="s">
        <v>178</v>
      </c>
      <c r="G27" s="18" t="s">
        <v>186</v>
      </c>
      <c r="H27" s="18" t="s">
        <v>118</v>
      </c>
      <c r="I27" s="19" t="s">
        <v>122</v>
      </c>
      <c r="J27" s="18" t="s">
        <v>118</v>
      </c>
      <c r="K27" s="18" t="s">
        <v>17</v>
      </c>
      <c r="L27" s="17">
        <v>1754</v>
      </c>
      <c r="M27" s="17">
        <v>372</v>
      </c>
      <c r="N27" s="17">
        <v>57</v>
      </c>
      <c r="O27" s="17">
        <v>14786</v>
      </c>
      <c r="P27" s="18" t="s">
        <v>180</v>
      </c>
      <c r="Q27" s="18">
        <v>0.30399999999999999</v>
      </c>
      <c r="R27" s="17">
        <v>0.55000000000000004</v>
      </c>
      <c r="S27" s="18" t="s">
        <v>50</v>
      </c>
      <c r="T27" s="17" t="str">
        <f t="shared" si="0"/>
        <v>PASS</v>
      </c>
      <c r="U27" s="17"/>
      <c r="V27" s="20"/>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row>
    <row r="28" spans="1:53" s="12" customFormat="1" x14ac:dyDescent="0.25">
      <c r="A28" s="17">
        <v>25</v>
      </c>
      <c r="B28" s="18" t="s">
        <v>18</v>
      </c>
      <c r="C28" s="18" t="s">
        <v>118</v>
      </c>
      <c r="D28" s="17">
        <v>5</v>
      </c>
      <c r="E28" s="18" t="s">
        <v>56</v>
      </c>
      <c r="F28" s="18" t="s">
        <v>178</v>
      </c>
      <c r="G28" s="18" t="s">
        <v>186</v>
      </c>
      <c r="H28" s="18" t="s">
        <v>118</v>
      </c>
      <c r="I28" s="19" t="s">
        <v>123</v>
      </c>
      <c r="J28" s="18" t="s">
        <v>118</v>
      </c>
      <c r="K28" s="18" t="s">
        <v>17</v>
      </c>
      <c r="L28" s="17">
        <v>1804</v>
      </c>
      <c r="M28" s="17">
        <v>380</v>
      </c>
      <c r="N28" s="17">
        <v>58</v>
      </c>
      <c r="O28" s="17">
        <v>14416</v>
      </c>
      <c r="P28" s="18" t="s">
        <v>181</v>
      </c>
      <c r="Q28" s="18">
        <v>0.27100000000000002</v>
      </c>
      <c r="R28" s="17">
        <v>0.55000000000000004</v>
      </c>
      <c r="S28" s="18" t="s">
        <v>50</v>
      </c>
      <c r="T28" s="17" t="str">
        <f t="shared" si="0"/>
        <v>PASS</v>
      </c>
      <c r="U28" s="17"/>
      <c r="V28" s="20"/>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row>
    <row r="29" spans="1:53" s="24" customFormat="1" x14ac:dyDescent="0.25">
      <c r="A29" s="21">
        <v>1</v>
      </c>
      <c r="B29" s="22" t="s">
        <v>18</v>
      </c>
      <c r="C29" s="22" t="s">
        <v>19</v>
      </c>
      <c r="D29" s="21">
        <v>1</v>
      </c>
      <c r="E29" s="22" t="s">
        <v>88</v>
      </c>
      <c r="F29" s="22" t="s">
        <v>135</v>
      </c>
      <c r="G29" s="22" t="s">
        <v>186</v>
      </c>
      <c r="H29" s="22" t="s">
        <v>19</v>
      </c>
      <c r="I29" s="23" t="s">
        <v>20</v>
      </c>
      <c r="J29" s="22" t="s">
        <v>19</v>
      </c>
      <c r="K29" s="22" t="s">
        <v>17</v>
      </c>
      <c r="L29" s="21">
        <v>1773</v>
      </c>
      <c r="M29" s="21">
        <v>368</v>
      </c>
      <c r="N29" s="21">
        <v>58</v>
      </c>
      <c r="O29" s="21">
        <v>11736</v>
      </c>
      <c r="P29" s="22" t="s">
        <v>131</v>
      </c>
      <c r="Q29" s="22">
        <v>0.38300000000000001</v>
      </c>
      <c r="R29" s="21">
        <v>0.55000000000000004</v>
      </c>
      <c r="S29" s="22" t="s">
        <v>50</v>
      </c>
      <c r="T29" s="21" t="str">
        <f>IF(S29="Pending","Pending",IF(AND(S29="Success",Q29&lt;=0.55),"PASS","FAIL"))</f>
        <v>PASS</v>
      </c>
      <c r="U29" s="21"/>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row>
    <row r="30" spans="1:53" s="24" customFormat="1" x14ac:dyDescent="0.25">
      <c r="A30" s="21">
        <v>2</v>
      </c>
      <c r="B30" s="22" t="s">
        <v>18</v>
      </c>
      <c r="C30" s="22" t="s">
        <v>19</v>
      </c>
      <c r="D30" s="21">
        <v>2</v>
      </c>
      <c r="E30" s="22" t="s">
        <v>88</v>
      </c>
      <c r="F30" s="22" t="s">
        <v>135</v>
      </c>
      <c r="G30" s="22" t="s">
        <v>186</v>
      </c>
      <c r="H30" s="22" t="s">
        <v>19</v>
      </c>
      <c r="I30" s="23" t="s">
        <v>21</v>
      </c>
      <c r="J30" s="22" t="s">
        <v>19</v>
      </c>
      <c r="K30" s="22" t="s">
        <v>17</v>
      </c>
      <c r="L30" s="21">
        <v>1832</v>
      </c>
      <c r="M30" s="21">
        <v>372</v>
      </c>
      <c r="N30" s="21">
        <v>61</v>
      </c>
      <c r="O30" s="21">
        <v>13628</v>
      </c>
      <c r="P30" s="22" t="s">
        <v>130</v>
      </c>
      <c r="Q30" s="22">
        <v>0.14899999999999999</v>
      </c>
      <c r="R30" s="21">
        <v>0.55000000000000004</v>
      </c>
      <c r="S30" s="22" t="s">
        <v>50</v>
      </c>
      <c r="T30" s="21" t="str">
        <f t="shared" ref="T30:T53" si="1">IF(S30="Pending","Pending",IF(AND(S30="Success",Q30&lt;=0.55),"PASS","FAIL"))</f>
        <v>PASS</v>
      </c>
      <c r="U30" s="21"/>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row>
    <row r="31" spans="1:53" s="24" customFormat="1" x14ac:dyDescent="0.25">
      <c r="A31" s="21">
        <v>3</v>
      </c>
      <c r="B31" s="22" t="s">
        <v>18</v>
      </c>
      <c r="C31" s="22" t="s">
        <v>19</v>
      </c>
      <c r="D31" s="21">
        <v>3</v>
      </c>
      <c r="E31" s="22" t="s">
        <v>88</v>
      </c>
      <c r="F31" s="22" t="s">
        <v>135</v>
      </c>
      <c r="G31" s="22" t="s">
        <v>186</v>
      </c>
      <c r="H31" s="22" t="s">
        <v>19</v>
      </c>
      <c r="I31" s="23" t="s">
        <v>22</v>
      </c>
      <c r="J31" s="22" t="s">
        <v>19</v>
      </c>
      <c r="K31" s="22" t="s">
        <v>17</v>
      </c>
      <c r="L31" s="21">
        <v>1708</v>
      </c>
      <c r="M31" s="21">
        <v>363</v>
      </c>
      <c r="N31" s="21">
        <v>56</v>
      </c>
      <c r="O31" s="21">
        <v>11382</v>
      </c>
      <c r="P31" s="22" t="s">
        <v>132</v>
      </c>
      <c r="Q31" s="22">
        <v>0.46</v>
      </c>
      <c r="R31" s="21">
        <v>0.55000000000000004</v>
      </c>
      <c r="S31" s="22" t="s">
        <v>50</v>
      </c>
      <c r="T31" s="21" t="str">
        <f t="shared" si="1"/>
        <v>PASS</v>
      </c>
      <c r="U31" s="21"/>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row>
    <row r="32" spans="1:53" s="24" customFormat="1" x14ac:dyDescent="0.25">
      <c r="A32" s="21">
        <v>4</v>
      </c>
      <c r="B32" s="22" t="s">
        <v>18</v>
      </c>
      <c r="C32" s="22" t="s">
        <v>19</v>
      </c>
      <c r="D32" s="21">
        <v>4</v>
      </c>
      <c r="E32" s="22" t="s">
        <v>88</v>
      </c>
      <c r="F32" s="22" t="s">
        <v>135</v>
      </c>
      <c r="G32" s="22" t="s">
        <v>186</v>
      </c>
      <c r="H32" s="22" t="s">
        <v>19</v>
      </c>
      <c r="I32" s="23" t="s">
        <v>23</v>
      </c>
      <c r="J32" s="22" t="s">
        <v>19</v>
      </c>
      <c r="K32" s="22" t="s">
        <v>17</v>
      </c>
      <c r="L32" s="21">
        <v>1823</v>
      </c>
      <c r="M32" s="21">
        <v>377</v>
      </c>
      <c r="N32" s="21">
        <v>60</v>
      </c>
      <c r="O32" s="21">
        <v>12444</v>
      </c>
      <c r="P32" s="22" t="s">
        <v>133</v>
      </c>
      <c r="Q32" s="22">
        <v>0.41699999999999998</v>
      </c>
      <c r="R32" s="21">
        <v>0.55000000000000004</v>
      </c>
      <c r="S32" s="22" t="s">
        <v>50</v>
      </c>
      <c r="T32" s="21" t="str">
        <f t="shared" si="1"/>
        <v>PASS</v>
      </c>
      <c r="U32" s="21"/>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row>
    <row r="33" spans="1:53" s="24" customFormat="1" x14ac:dyDescent="0.25">
      <c r="A33" s="21">
        <v>5</v>
      </c>
      <c r="B33" s="22" t="s">
        <v>18</v>
      </c>
      <c r="C33" s="22" t="s">
        <v>19</v>
      </c>
      <c r="D33" s="21">
        <v>5</v>
      </c>
      <c r="E33" s="22" t="s">
        <v>88</v>
      </c>
      <c r="F33" s="22" t="s">
        <v>135</v>
      </c>
      <c r="G33" s="22" t="s">
        <v>186</v>
      </c>
      <c r="H33" s="22" t="s">
        <v>19</v>
      </c>
      <c r="I33" s="23" t="s">
        <v>24</v>
      </c>
      <c r="J33" s="22" t="s">
        <v>19</v>
      </c>
      <c r="K33" s="22" t="s">
        <v>17</v>
      </c>
      <c r="L33" s="21">
        <v>1770</v>
      </c>
      <c r="M33" s="21">
        <v>391</v>
      </c>
      <c r="N33" s="21">
        <v>58</v>
      </c>
      <c r="O33" s="21">
        <v>11925</v>
      </c>
      <c r="P33" s="22" t="s">
        <v>134</v>
      </c>
      <c r="Q33" s="22">
        <v>0.432</v>
      </c>
      <c r="R33" s="21">
        <v>0.55000000000000004</v>
      </c>
      <c r="S33" s="22" t="s">
        <v>50</v>
      </c>
      <c r="T33" s="21" t="str">
        <f t="shared" si="1"/>
        <v>PASS</v>
      </c>
      <c r="U33" s="21"/>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row>
    <row r="34" spans="1:53" s="24" customFormat="1" x14ac:dyDescent="0.25">
      <c r="A34" s="21">
        <v>6</v>
      </c>
      <c r="B34" s="22" t="s">
        <v>18</v>
      </c>
      <c r="C34" s="22" t="s">
        <v>27</v>
      </c>
      <c r="D34" s="21">
        <v>1</v>
      </c>
      <c r="E34" s="22" t="s">
        <v>88</v>
      </c>
      <c r="F34" s="22" t="s">
        <v>135</v>
      </c>
      <c r="G34" s="22" t="s">
        <v>186</v>
      </c>
      <c r="H34" s="22" t="s">
        <v>27</v>
      </c>
      <c r="I34" s="23" t="s">
        <v>34</v>
      </c>
      <c r="J34" s="22" t="s">
        <v>27</v>
      </c>
      <c r="K34" s="22" t="s">
        <v>17</v>
      </c>
      <c r="L34" s="21">
        <v>1843</v>
      </c>
      <c r="M34" s="21">
        <v>370</v>
      </c>
      <c r="N34" s="21">
        <v>58</v>
      </c>
      <c r="O34" s="21">
        <v>10899</v>
      </c>
      <c r="P34" s="22" t="s">
        <v>136</v>
      </c>
      <c r="Q34" s="22">
        <v>0.35699999999999998</v>
      </c>
      <c r="R34" s="21">
        <v>0.55000000000000004</v>
      </c>
      <c r="S34" s="22" t="s">
        <v>50</v>
      </c>
      <c r="T34" s="21" t="str">
        <f t="shared" si="1"/>
        <v>PASS</v>
      </c>
      <c r="U34" s="21"/>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row>
    <row r="35" spans="1:53" s="24" customFormat="1" x14ac:dyDescent="0.25">
      <c r="A35" s="21">
        <v>7</v>
      </c>
      <c r="B35" s="22" t="s">
        <v>18</v>
      </c>
      <c r="C35" s="22" t="s">
        <v>27</v>
      </c>
      <c r="D35" s="21">
        <v>2</v>
      </c>
      <c r="E35" s="22" t="s">
        <v>88</v>
      </c>
      <c r="F35" s="22" t="s">
        <v>135</v>
      </c>
      <c r="G35" s="22" t="s">
        <v>186</v>
      </c>
      <c r="H35" s="22" t="s">
        <v>27</v>
      </c>
      <c r="I35" s="23" t="s">
        <v>35</v>
      </c>
      <c r="J35" s="22" t="s">
        <v>27</v>
      </c>
      <c r="K35" s="22" t="s">
        <v>17</v>
      </c>
      <c r="L35" s="21">
        <v>1943</v>
      </c>
      <c r="M35" s="21">
        <v>370</v>
      </c>
      <c r="N35" s="21">
        <v>58</v>
      </c>
      <c r="O35" s="21">
        <v>11419</v>
      </c>
      <c r="P35" s="22" t="s">
        <v>137</v>
      </c>
      <c r="Q35" s="22">
        <v>0.28999999999999998</v>
      </c>
      <c r="R35" s="21">
        <v>0.55000000000000004</v>
      </c>
      <c r="S35" s="22" t="s">
        <v>50</v>
      </c>
      <c r="T35" s="21" t="str">
        <f t="shared" si="1"/>
        <v>PASS</v>
      </c>
      <c r="U35" s="21"/>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row>
    <row r="36" spans="1:53" s="24" customFormat="1" x14ac:dyDescent="0.25">
      <c r="A36" s="21">
        <v>8</v>
      </c>
      <c r="B36" s="22" t="s">
        <v>18</v>
      </c>
      <c r="C36" s="22" t="s">
        <v>27</v>
      </c>
      <c r="D36" s="21">
        <v>3</v>
      </c>
      <c r="E36" s="22" t="s">
        <v>88</v>
      </c>
      <c r="F36" s="22" t="s">
        <v>135</v>
      </c>
      <c r="G36" s="22" t="s">
        <v>186</v>
      </c>
      <c r="H36" s="22" t="s">
        <v>27</v>
      </c>
      <c r="I36" s="23" t="s">
        <v>36</v>
      </c>
      <c r="J36" s="22" t="s">
        <v>27</v>
      </c>
      <c r="K36" s="22" t="s">
        <v>17</v>
      </c>
      <c r="L36" s="21">
        <v>1912</v>
      </c>
      <c r="M36" s="21">
        <v>362</v>
      </c>
      <c r="N36" s="21">
        <v>62</v>
      </c>
      <c r="O36" s="21">
        <v>11809</v>
      </c>
      <c r="P36" s="22" t="s">
        <v>138</v>
      </c>
      <c r="Q36" s="22">
        <v>0.255</v>
      </c>
      <c r="R36" s="21">
        <v>0.55000000000000004</v>
      </c>
      <c r="S36" s="22" t="s">
        <v>50</v>
      </c>
      <c r="T36" s="21" t="str">
        <f t="shared" si="1"/>
        <v>PASS</v>
      </c>
      <c r="U36" s="21"/>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row>
    <row r="37" spans="1:53" s="24" customFormat="1" x14ac:dyDescent="0.25">
      <c r="A37" s="21">
        <v>9</v>
      </c>
      <c r="B37" s="22" t="s">
        <v>18</v>
      </c>
      <c r="C37" s="22" t="s">
        <v>27</v>
      </c>
      <c r="D37" s="21">
        <v>4</v>
      </c>
      <c r="E37" s="22" t="s">
        <v>88</v>
      </c>
      <c r="F37" s="22" t="s">
        <v>135</v>
      </c>
      <c r="G37" s="22" t="s">
        <v>186</v>
      </c>
      <c r="H37" s="22" t="s">
        <v>27</v>
      </c>
      <c r="I37" s="23" t="s">
        <v>37</v>
      </c>
      <c r="J37" s="22" t="s">
        <v>27</v>
      </c>
      <c r="K37" s="22" t="s">
        <v>17</v>
      </c>
      <c r="L37" s="21">
        <v>1798</v>
      </c>
      <c r="M37" s="21">
        <v>333</v>
      </c>
      <c r="N37" s="21">
        <v>56</v>
      </c>
      <c r="O37" s="21">
        <v>10495</v>
      </c>
      <c r="P37" s="22" t="s">
        <v>139</v>
      </c>
      <c r="Q37" s="22">
        <v>0.38500000000000001</v>
      </c>
      <c r="R37" s="21">
        <v>0.55000000000000004</v>
      </c>
      <c r="S37" s="22" t="s">
        <v>50</v>
      </c>
      <c r="T37" s="21" t="str">
        <f t="shared" si="1"/>
        <v>PASS</v>
      </c>
      <c r="U37" s="21"/>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row>
    <row r="38" spans="1:53" s="24" customFormat="1" x14ac:dyDescent="0.25">
      <c r="A38" s="21">
        <v>10</v>
      </c>
      <c r="B38" s="22" t="s">
        <v>18</v>
      </c>
      <c r="C38" s="22" t="s">
        <v>27</v>
      </c>
      <c r="D38" s="21">
        <v>5</v>
      </c>
      <c r="E38" s="22" t="s">
        <v>88</v>
      </c>
      <c r="F38" s="22" t="s">
        <v>135</v>
      </c>
      <c r="G38" s="22" t="s">
        <v>186</v>
      </c>
      <c r="H38" s="22" t="s">
        <v>27</v>
      </c>
      <c r="I38" s="23" t="s">
        <v>38</v>
      </c>
      <c r="J38" s="22" t="s">
        <v>27</v>
      </c>
      <c r="K38" s="22" t="s">
        <v>17</v>
      </c>
      <c r="L38" s="21">
        <v>1768</v>
      </c>
      <c r="M38" s="21">
        <v>375</v>
      </c>
      <c r="N38" s="21">
        <v>60</v>
      </c>
      <c r="O38" s="21">
        <v>11022</v>
      </c>
      <c r="P38" s="22" t="s">
        <v>140</v>
      </c>
      <c r="Q38" s="22">
        <v>0.35299999999999998</v>
      </c>
      <c r="R38" s="21">
        <v>0.55000000000000004</v>
      </c>
      <c r="S38" s="22" t="s">
        <v>50</v>
      </c>
      <c r="T38" s="21" t="str">
        <f t="shared" si="1"/>
        <v>PASS</v>
      </c>
      <c r="U38" s="21"/>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row>
    <row r="39" spans="1:53" s="24" customFormat="1" x14ac:dyDescent="0.25">
      <c r="A39" s="21">
        <v>11</v>
      </c>
      <c r="B39" s="22" t="s">
        <v>18</v>
      </c>
      <c r="C39" s="22" t="s">
        <v>25</v>
      </c>
      <c r="D39" s="21">
        <v>1</v>
      </c>
      <c r="E39" s="22" t="s">
        <v>88</v>
      </c>
      <c r="F39" s="22" t="s">
        <v>141</v>
      </c>
      <c r="G39" s="22" t="s">
        <v>186</v>
      </c>
      <c r="H39" s="22" t="s">
        <v>25</v>
      </c>
      <c r="I39" s="23" t="s">
        <v>29</v>
      </c>
      <c r="J39" s="22" t="s">
        <v>25</v>
      </c>
      <c r="K39" s="22" t="s">
        <v>17</v>
      </c>
      <c r="L39" s="22">
        <v>2396</v>
      </c>
      <c r="M39" s="22">
        <v>846</v>
      </c>
      <c r="N39" s="22">
        <v>89</v>
      </c>
      <c r="O39" s="22">
        <v>17548</v>
      </c>
      <c r="P39" s="22" t="s">
        <v>143</v>
      </c>
      <c r="Q39" s="22">
        <v>0.35</v>
      </c>
      <c r="R39" s="21">
        <v>0.55000000000000004</v>
      </c>
      <c r="S39" s="22" t="s">
        <v>50</v>
      </c>
      <c r="T39" s="21" t="str">
        <f t="shared" si="1"/>
        <v>PASS</v>
      </c>
      <c r="U39" s="21"/>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row>
    <row r="40" spans="1:53" s="24" customFormat="1" x14ac:dyDescent="0.25">
      <c r="A40" s="21">
        <v>12</v>
      </c>
      <c r="B40" s="22" t="s">
        <v>18</v>
      </c>
      <c r="C40" s="22" t="s">
        <v>25</v>
      </c>
      <c r="D40" s="21">
        <v>2</v>
      </c>
      <c r="E40" s="22" t="s">
        <v>88</v>
      </c>
      <c r="F40" s="22" t="s">
        <v>141</v>
      </c>
      <c r="G40" s="22" t="s">
        <v>186</v>
      </c>
      <c r="H40" s="22" t="s">
        <v>25</v>
      </c>
      <c r="I40" s="23" t="s">
        <v>30</v>
      </c>
      <c r="J40" s="22" t="s">
        <v>25</v>
      </c>
      <c r="K40" s="22" t="s">
        <v>17</v>
      </c>
      <c r="L40" s="22">
        <v>1950</v>
      </c>
      <c r="M40" s="22">
        <v>374</v>
      </c>
      <c r="N40" s="22">
        <v>59</v>
      </c>
      <c r="O40" s="22">
        <v>17381</v>
      </c>
      <c r="P40" s="22" t="s">
        <v>144</v>
      </c>
      <c r="Q40" s="22">
        <v>0.311</v>
      </c>
      <c r="R40" s="21">
        <v>0.55000000000000004</v>
      </c>
      <c r="S40" s="22" t="s">
        <v>50</v>
      </c>
      <c r="T40" s="21" t="str">
        <f t="shared" si="1"/>
        <v>PASS</v>
      </c>
      <c r="U40" s="21"/>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row>
    <row r="41" spans="1:53" s="24" customFormat="1" x14ac:dyDescent="0.25">
      <c r="A41" s="21">
        <v>13</v>
      </c>
      <c r="B41" s="22" t="s">
        <v>18</v>
      </c>
      <c r="C41" s="22" t="s">
        <v>25</v>
      </c>
      <c r="D41" s="21">
        <v>3</v>
      </c>
      <c r="E41" s="22" t="s">
        <v>88</v>
      </c>
      <c r="F41" s="22" t="s">
        <v>141</v>
      </c>
      <c r="G41" s="22" t="s">
        <v>186</v>
      </c>
      <c r="H41" s="22" t="s">
        <v>25</v>
      </c>
      <c r="I41" s="23" t="s">
        <v>31</v>
      </c>
      <c r="J41" s="22" t="s">
        <v>25</v>
      </c>
      <c r="K41" s="22" t="s">
        <v>17</v>
      </c>
      <c r="L41" s="21">
        <v>1770</v>
      </c>
      <c r="M41" s="21">
        <v>368</v>
      </c>
      <c r="N41" s="21">
        <v>56</v>
      </c>
      <c r="O41" s="21">
        <v>17284</v>
      </c>
      <c r="P41" s="22" t="s">
        <v>145</v>
      </c>
      <c r="Q41" s="22">
        <v>0.311</v>
      </c>
      <c r="R41" s="21">
        <v>0.55000000000000004</v>
      </c>
      <c r="S41" s="22" t="s">
        <v>50</v>
      </c>
      <c r="T41" s="21" t="str">
        <f t="shared" si="1"/>
        <v>PASS</v>
      </c>
      <c r="U41" s="21"/>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row>
    <row r="42" spans="1:53" s="24" customFormat="1" x14ac:dyDescent="0.25">
      <c r="A42" s="21">
        <v>14</v>
      </c>
      <c r="B42" s="22" t="s">
        <v>18</v>
      </c>
      <c r="C42" s="22" t="s">
        <v>25</v>
      </c>
      <c r="D42" s="21">
        <v>4</v>
      </c>
      <c r="E42" s="22" t="s">
        <v>88</v>
      </c>
      <c r="F42" s="22" t="s">
        <v>141</v>
      </c>
      <c r="G42" s="22" t="s">
        <v>186</v>
      </c>
      <c r="H42" s="22" t="s">
        <v>25</v>
      </c>
      <c r="I42" s="23" t="s">
        <v>32</v>
      </c>
      <c r="J42" s="22" t="s">
        <v>25</v>
      </c>
      <c r="K42" s="22" t="s">
        <v>17</v>
      </c>
      <c r="L42" s="21">
        <v>1798</v>
      </c>
      <c r="M42" s="21">
        <v>380</v>
      </c>
      <c r="N42" s="21">
        <v>60</v>
      </c>
      <c r="O42" s="21">
        <v>18728</v>
      </c>
      <c r="P42" s="22" t="s">
        <v>146</v>
      </c>
      <c r="Q42" s="22">
        <v>0.186</v>
      </c>
      <c r="R42" s="21">
        <v>0.55000000000000004</v>
      </c>
      <c r="S42" s="22" t="s">
        <v>50</v>
      </c>
      <c r="T42" s="21" t="str">
        <f t="shared" si="1"/>
        <v>PASS</v>
      </c>
      <c r="U42" s="21"/>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row>
    <row r="43" spans="1:53" s="24" customFormat="1" x14ac:dyDescent="0.25">
      <c r="A43" s="21">
        <v>15</v>
      </c>
      <c r="B43" s="22" t="s">
        <v>18</v>
      </c>
      <c r="C43" s="22" t="s">
        <v>25</v>
      </c>
      <c r="D43" s="21">
        <v>5</v>
      </c>
      <c r="E43" s="22" t="s">
        <v>88</v>
      </c>
      <c r="F43" s="22" t="s">
        <v>141</v>
      </c>
      <c r="G43" s="22" t="s">
        <v>186</v>
      </c>
      <c r="H43" s="22" t="s">
        <v>25</v>
      </c>
      <c r="I43" s="23" t="s">
        <v>33</v>
      </c>
      <c r="J43" s="22" t="s">
        <v>25</v>
      </c>
      <c r="K43" s="22" t="s">
        <v>17</v>
      </c>
      <c r="L43" s="21">
        <v>1833</v>
      </c>
      <c r="M43" s="21">
        <v>373</v>
      </c>
      <c r="N43" s="21">
        <v>59</v>
      </c>
      <c r="O43" s="21">
        <v>17583</v>
      </c>
      <c r="P43" s="22" t="s">
        <v>147</v>
      </c>
      <c r="Q43" s="22">
        <v>0.27600000000000002</v>
      </c>
      <c r="R43" s="21">
        <v>0.55000000000000004</v>
      </c>
      <c r="S43" s="22" t="s">
        <v>50</v>
      </c>
      <c r="T43" s="21" t="str">
        <f t="shared" si="1"/>
        <v>PASS</v>
      </c>
      <c r="U43" s="21"/>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row>
    <row r="44" spans="1:53" s="24" customFormat="1" x14ac:dyDescent="0.25">
      <c r="A44" s="21">
        <v>16</v>
      </c>
      <c r="B44" s="22" t="s">
        <v>18</v>
      </c>
      <c r="C44" s="22" t="s">
        <v>28</v>
      </c>
      <c r="D44" s="21">
        <v>1</v>
      </c>
      <c r="E44" s="22" t="s">
        <v>88</v>
      </c>
      <c r="F44" s="22" t="s">
        <v>183</v>
      </c>
      <c r="G44" s="22" t="s">
        <v>186</v>
      </c>
      <c r="H44" s="22" t="s">
        <v>28</v>
      </c>
      <c r="I44" s="23" t="s">
        <v>39</v>
      </c>
      <c r="J44" s="22" t="s">
        <v>28</v>
      </c>
      <c r="K44" s="22" t="s">
        <v>17</v>
      </c>
      <c r="L44" s="21">
        <v>1814</v>
      </c>
      <c r="M44" s="21">
        <v>370</v>
      </c>
      <c r="N44" s="21">
        <v>58</v>
      </c>
      <c r="O44" s="21">
        <v>15383</v>
      </c>
      <c r="P44" s="22" t="s">
        <v>148</v>
      </c>
      <c r="Q44" s="22">
        <v>0.68899999999999995</v>
      </c>
      <c r="R44" s="21">
        <v>0.55000000000000004</v>
      </c>
      <c r="S44" s="22" t="s">
        <v>50</v>
      </c>
      <c r="T44" s="31" t="str">
        <f t="shared" si="1"/>
        <v>FAIL</v>
      </c>
      <c r="U44" s="22" t="s">
        <v>187</v>
      </c>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row>
    <row r="45" spans="1:53" s="24" customFormat="1" x14ac:dyDescent="0.25">
      <c r="A45" s="21">
        <v>17</v>
      </c>
      <c r="B45" s="22" t="s">
        <v>18</v>
      </c>
      <c r="C45" s="22" t="s">
        <v>28</v>
      </c>
      <c r="D45" s="21">
        <v>2</v>
      </c>
      <c r="E45" s="22" t="s">
        <v>88</v>
      </c>
      <c r="F45" s="22" t="s">
        <v>183</v>
      </c>
      <c r="G45" s="22" t="s">
        <v>186</v>
      </c>
      <c r="H45" s="22" t="s">
        <v>28</v>
      </c>
      <c r="I45" s="23" t="s">
        <v>40</v>
      </c>
      <c r="J45" s="22" t="s">
        <v>28</v>
      </c>
      <c r="K45" s="22" t="s">
        <v>17</v>
      </c>
      <c r="L45" s="21">
        <v>1014</v>
      </c>
      <c r="M45" s="21">
        <v>370</v>
      </c>
      <c r="N45" s="21">
        <v>59</v>
      </c>
      <c r="O45" s="21">
        <v>16038</v>
      </c>
      <c r="P45" s="22" t="s">
        <v>151</v>
      </c>
      <c r="Q45" s="22">
        <v>0.67800000000000005</v>
      </c>
      <c r="R45" s="21">
        <v>0.55000000000000004</v>
      </c>
      <c r="S45" s="22" t="s">
        <v>50</v>
      </c>
      <c r="T45" s="31" t="str">
        <f t="shared" si="1"/>
        <v>FAIL</v>
      </c>
      <c r="U45" s="22" t="s">
        <v>187</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row>
    <row r="46" spans="1:53" s="24" customFormat="1" x14ac:dyDescent="0.25">
      <c r="A46" s="21">
        <v>18</v>
      </c>
      <c r="B46" s="22" t="s">
        <v>18</v>
      </c>
      <c r="C46" s="22" t="s">
        <v>28</v>
      </c>
      <c r="D46" s="21">
        <v>3</v>
      </c>
      <c r="E46" s="22" t="s">
        <v>88</v>
      </c>
      <c r="F46" s="22" t="s">
        <v>183</v>
      </c>
      <c r="G46" s="22" t="s">
        <v>186</v>
      </c>
      <c r="H46" s="22" t="s">
        <v>28</v>
      </c>
      <c r="I46" s="23" t="s">
        <v>41</v>
      </c>
      <c r="J46" s="22" t="s">
        <v>28</v>
      </c>
      <c r="K46" s="22" t="s">
        <v>17</v>
      </c>
      <c r="L46" s="22">
        <v>1765</v>
      </c>
      <c r="M46" s="21">
        <v>361</v>
      </c>
      <c r="N46" s="21">
        <v>56</v>
      </c>
      <c r="O46" s="21">
        <v>15799</v>
      </c>
      <c r="P46" s="22" t="s">
        <v>149</v>
      </c>
      <c r="Q46" s="22">
        <v>0.626</v>
      </c>
      <c r="R46" s="21">
        <v>0.55000000000000004</v>
      </c>
      <c r="S46" s="22" t="s">
        <v>50</v>
      </c>
      <c r="T46" s="31" t="str">
        <f t="shared" si="1"/>
        <v>FAIL</v>
      </c>
      <c r="U46" s="22" t="s">
        <v>187</v>
      </c>
      <c r="V46" s="25"/>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row>
    <row r="47" spans="1:53" s="24" customFormat="1" x14ac:dyDescent="0.25">
      <c r="A47" s="21">
        <v>19</v>
      </c>
      <c r="B47" s="22" t="s">
        <v>18</v>
      </c>
      <c r="C47" s="22" t="s">
        <v>28</v>
      </c>
      <c r="D47" s="21">
        <v>4</v>
      </c>
      <c r="E47" s="22" t="s">
        <v>88</v>
      </c>
      <c r="F47" s="22" t="s">
        <v>183</v>
      </c>
      <c r="G47" s="22" t="s">
        <v>186</v>
      </c>
      <c r="H47" s="22" t="s">
        <v>28</v>
      </c>
      <c r="I47" s="23" t="s">
        <v>42</v>
      </c>
      <c r="J47" s="22" t="s">
        <v>28</v>
      </c>
      <c r="K47" s="22" t="s">
        <v>17</v>
      </c>
      <c r="L47" s="21">
        <v>1802</v>
      </c>
      <c r="M47" s="21">
        <v>377</v>
      </c>
      <c r="N47" s="21">
        <v>60</v>
      </c>
      <c r="O47" s="21">
        <v>15459</v>
      </c>
      <c r="P47" s="22" t="s">
        <v>150</v>
      </c>
      <c r="Q47" s="22">
        <v>0.624</v>
      </c>
      <c r="R47" s="21">
        <v>0.55000000000000004</v>
      </c>
      <c r="S47" s="22" t="s">
        <v>50</v>
      </c>
      <c r="T47" s="31" t="str">
        <f t="shared" si="1"/>
        <v>FAIL</v>
      </c>
      <c r="U47" s="22" t="s">
        <v>187</v>
      </c>
      <c r="V47" s="25"/>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row>
    <row r="48" spans="1:53" s="24" customFormat="1" x14ac:dyDescent="0.25">
      <c r="A48" s="21">
        <v>20</v>
      </c>
      <c r="B48" s="22" t="s">
        <v>18</v>
      </c>
      <c r="C48" s="22" t="s">
        <v>28</v>
      </c>
      <c r="D48" s="21">
        <v>5</v>
      </c>
      <c r="E48" s="22" t="s">
        <v>88</v>
      </c>
      <c r="F48" s="22" t="s">
        <v>183</v>
      </c>
      <c r="G48" s="22" t="s">
        <v>186</v>
      </c>
      <c r="H48" s="22" t="s">
        <v>28</v>
      </c>
      <c r="I48" s="23" t="s">
        <v>43</v>
      </c>
      <c r="J48" s="22" t="s">
        <v>28</v>
      </c>
      <c r="K48" s="22" t="s">
        <v>17</v>
      </c>
      <c r="L48" s="21">
        <v>1811</v>
      </c>
      <c r="M48" s="21">
        <v>367</v>
      </c>
      <c r="N48" s="21">
        <v>57</v>
      </c>
      <c r="O48" s="21">
        <v>17694</v>
      </c>
      <c r="P48" s="22" t="s">
        <v>142</v>
      </c>
      <c r="Q48" s="22">
        <v>0.505</v>
      </c>
      <c r="R48" s="21">
        <v>0.55000000000000004</v>
      </c>
      <c r="S48" s="22" t="s">
        <v>50</v>
      </c>
      <c r="T48" s="21" t="str">
        <f t="shared" si="1"/>
        <v>PASS</v>
      </c>
      <c r="U48" s="21"/>
      <c r="V48" s="25"/>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row>
    <row r="49" spans="1:53" s="24" customFormat="1" x14ac:dyDescent="0.25">
      <c r="A49" s="21">
        <v>21</v>
      </c>
      <c r="B49" s="22" t="s">
        <v>18</v>
      </c>
      <c r="C49" s="22" t="s">
        <v>117</v>
      </c>
      <c r="D49" s="21">
        <v>1</v>
      </c>
      <c r="E49" s="22" t="s">
        <v>88</v>
      </c>
      <c r="F49" s="22" t="s">
        <v>184</v>
      </c>
      <c r="G49" s="22" t="s">
        <v>186</v>
      </c>
      <c r="H49" s="22" t="s">
        <v>117</v>
      </c>
      <c r="I49" s="23" t="s">
        <v>119</v>
      </c>
      <c r="J49" s="22" t="s">
        <v>117</v>
      </c>
      <c r="K49" s="22" t="s">
        <v>17</v>
      </c>
      <c r="L49" s="22">
        <v>1793</v>
      </c>
      <c r="M49" s="21">
        <v>373</v>
      </c>
      <c r="N49" s="21">
        <v>61</v>
      </c>
      <c r="O49" s="21">
        <v>15481</v>
      </c>
      <c r="P49" s="22" t="s">
        <v>153</v>
      </c>
      <c r="Q49" s="22">
        <v>0.315</v>
      </c>
      <c r="R49" s="21">
        <v>0.55000000000000004</v>
      </c>
      <c r="S49" s="22" t="s">
        <v>50</v>
      </c>
      <c r="T49" s="21" t="str">
        <f t="shared" si="1"/>
        <v>PASS</v>
      </c>
      <c r="U49" s="21"/>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row>
    <row r="50" spans="1:53" s="24" customFormat="1" x14ac:dyDescent="0.25">
      <c r="A50" s="21">
        <v>22</v>
      </c>
      <c r="B50" s="22" t="s">
        <v>18</v>
      </c>
      <c r="C50" s="22" t="s">
        <v>117</v>
      </c>
      <c r="D50" s="21">
        <v>2</v>
      </c>
      <c r="E50" s="22" t="s">
        <v>88</v>
      </c>
      <c r="F50" s="22" t="s">
        <v>184</v>
      </c>
      <c r="G50" s="22" t="s">
        <v>186</v>
      </c>
      <c r="H50" s="22" t="s">
        <v>117</v>
      </c>
      <c r="I50" s="23" t="s">
        <v>120</v>
      </c>
      <c r="J50" s="22" t="s">
        <v>117</v>
      </c>
      <c r="K50" s="22" t="s">
        <v>17</v>
      </c>
      <c r="L50" s="21">
        <v>1805</v>
      </c>
      <c r="M50" s="21">
        <v>371</v>
      </c>
      <c r="N50" s="21">
        <v>59</v>
      </c>
      <c r="O50" s="21">
        <v>18136</v>
      </c>
      <c r="P50" s="22" t="s">
        <v>152</v>
      </c>
      <c r="Q50" s="22">
        <v>0.184</v>
      </c>
      <c r="R50" s="21">
        <v>0.55000000000000004</v>
      </c>
      <c r="S50" s="22" t="s">
        <v>50</v>
      </c>
      <c r="T50" s="21" t="str">
        <f t="shared" si="1"/>
        <v>PASS</v>
      </c>
      <c r="U50" s="21"/>
      <c r="V50" s="25"/>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row>
    <row r="51" spans="1:53" s="24" customFormat="1" x14ac:dyDescent="0.25">
      <c r="A51" s="21">
        <v>23</v>
      </c>
      <c r="B51" s="22" t="s">
        <v>18</v>
      </c>
      <c r="C51" s="22" t="s">
        <v>117</v>
      </c>
      <c r="D51" s="21">
        <v>3</v>
      </c>
      <c r="E51" s="22" t="s">
        <v>88</v>
      </c>
      <c r="F51" s="22" t="s">
        <v>184</v>
      </c>
      <c r="G51" s="22" t="s">
        <v>186</v>
      </c>
      <c r="H51" s="22" t="s">
        <v>117</v>
      </c>
      <c r="I51" s="23" t="s">
        <v>121</v>
      </c>
      <c r="J51" s="22" t="s">
        <v>117</v>
      </c>
      <c r="K51" s="22" t="s">
        <v>17</v>
      </c>
      <c r="L51" s="21">
        <v>1779</v>
      </c>
      <c r="M51" s="21">
        <v>376</v>
      </c>
      <c r="N51" s="21">
        <v>60</v>
      </c>
      <c r="O51" s="21">
        <v>14222</v>
      </c>
      <c r="P51" s="22" t="s">
        <v>154</v>
      </c>
      <c r="Q51" s="22">
        <v>0.34799999999999998</v>
      </c>
      <c r="R51" s="21">
        <v>0.55000000000000004</v>
      </c>
      <c r="S51" s="22" t="s">
        <v>50</v>
      </c>
      <c r="T51" s="21" t="str">
        <f t="shared" si="1"/>
        <v>PASS</v>
      </c>
      <c r="U51" s="21"/>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row>
    <row r="52" spans="1:53" s="24" customFormat="1" x14ac:dyDescent="0.25">
      <c r="A52" s="21">
        <v>24</v>
      </c>
      <c r="B52" s="22" t="s">
        <v>18</v>
      </c>
      <c r="C52" s="22" t="s">
        <v>117</v>
      </c>
      <c r="D52" s="21">
        <v>4</v>
      </c>
      <c r="E52" s="22" t="s">
        <v>88</v>
      </c>
      <c r="F52" s="22" t="s">
        <v>184</v>
      </c>
      <c r="G52" s="22" t="s">
        <v>186</v>
      </c>
      <c r="H52" s="22" t="s">
        <v>117</v>
      </c>
      <c r="I52" s="23" t="s">
        <v>122</v>
      </c>
      <c r="J52" s="22" t="s">
        <v>117</v>
      </c>
      <c r="K52" s="22" t="s">
        <v>17</v>
      </c>
      <c r="L52" s="21">
        <v>1529</v>
      </c>
      <c r="M52" s="21">
        <v>362</v>
      </c>
      <c r="N52" s="21">
        <v>56</v>
      </c>
      <c r="O52" s="21">
        <v>14229</v>
      </c>
      <c r="P52" s="22" t="s">
        <v>109</v>
      </c>
      <c r="Q52" s="22">
        <v>0.41099999999999998</v>
      </c>
      <c r="R52" s="21">
        <v>0.55000000000000004</v>
      </c>
      <c r="S52" s="22" t="s">
        <v>50</v>
      </c>
      <c r="T52" s="21" t="str">
        <f t="shared" si="1"/>
        <v>PASS</v>
      </c>
      <c r="U52" s="21"/>
      <c r="V52" s="25"/>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row>
    <row r="53" spans="1:53" s="24" customFormat="1" x14ac:dyDescent="0.25">
      <c r="A53" s="21">
        <v>25</v>
      </c>
      <c r="B53" s="22" t="s">
        <v>18</v>
      </c>
      <c r="C53" s="22" t="s">
        <v>117</v>
      </c>
      <c r="D53" s="21">
        <v>5</v>
      </c>
      <c r="E53" s="22" t="s">
        <v>88</v>
      </c>
      <c r="F53" s="22" t="s">
        <v>184</v>
      </c>
      <c r="G53" s="22" t="s">
        <v>186</v>
      </c>
      <c r="H53" s="22" t="s">
        <v>117</v>
      </c>
      <c r="I53" s="23" t="s">
        <v>123</v>
      </c>
      <c r="J53" s="22" t="s">
        <v>117</v>
      </c>
      <c r="K53" s="22" t="s">
        <v>17</v>
      </c>
      <c r="L53" s="21">
        <v>1773</v>
      </c>
      <c r="M53" s="21">
        <v>367</v>
      </c>
      <c r="N53" s="21">
        <v>57</v>
      </c>
      <c r="O53" s="21">
        <v>15345</v>
      </c>
      <c r="P53" s="22" t="s">
        <v>155</v>
      </c>
      <c r="Q53" s="22">
        <v>0.34100000000000003</v>
      </c>
      <c r="R53" s="21">
        <v>0.55000000000000004</v>
      </c>
      <c r="S53" s="22" t="s">
        <v>50</v>
      </c>
      <c r="T53" s="21" t="str">
        <f t="shared" si="1"/>
        <v>PASS</v>
      </c>
      <c r="U53" s="21"/>
      <c r="V53" s="25"/>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row>
    <row r="54" spans="1:53" s="29" customFormat="1" x14ac:dyDescent="0.25">
      <c r="A54" s="26">
        <v>1</v>
      </c>
      <c r="B54" s="27" t="s">
        <v>18</v>
      </c>
      <c r="C54" s="27" t="s">
        <v>19</v>
      </c>
      <c r="D54" s="26">
        <v>1</v>
      </c>
      <c r="E54" s="27" t="s">
        <v>89</v>
      </c>
      <c r="F54" s="27" t="s">
        <v>91</v>
      </c>
      <c r="G54" s="27" t="s">
        <v>186</v>
      </c>
      <c r="H54" s="27" t="s">
        <v>19</v>
      </c>
      <c r="I54" s="28" t="s">
        <v>20</v>
      </c>
      <c r="J54" s="27" t="s">
        <v>19</v>
      </c>
      <c r="K54" s="27" t="s">
        <v>17</v>
      </c>
      <c r="L54" s="27">
        <v>7610</v>
      </c>
      <c r="M54" s="26">
        <v>1050</v>
      </c>
      <c r="N54" s="26">
        <v>89</v>
      </c>
      <c r="O54" s="26">
        <v>16456</v>
      </c>
      <c r="P54" s="27" t="s">
        <v>92</v>
      </c>
      <c r="Q54" s="27">
        <v>0.376</v>
      </c>
      <c r="R54" s="26">
        <v>0.55000000000000004</v>
      </c>
      <c r="S54" s="27" t="s">
        <v>50</v>
      </c>
      <c r="T54" s="26" t="str">
        <f>IF(S54="Pending","Pending",IF(AND(S54="Success",Q54&lt;=0.55),"PASS","FAIL"))</f>
        <v>PASS</v>
      </c>
      <c r="U54" s="26"/>
      <c r="V54" s="28" t="s">
        <v>97</v>
      </c>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row>
    <row r="55" spans="1:53" s="29" customFormat="1" x14ac:dyDescent="0.25">
      <c r="A55" s="26">
        <v>2</v>
      </c>
      <c r="B55" s="27" t="s">
        <v>18</v>
      </c>
      <c r="C55" s="27" t="s">
        <v>19</v>
      </c>
      <c r="D55" s="26">
        <v>2</v>
      </c>
      <c r="E55" s="27" t="s">
        <v>89</v>
      </c>
      <c r="F55" s="27" t="s">
        <v>91</v>
      </c>
      <c r="G55" s="27" t="s">
        <v>186</v>
      </c>
      <c r="H55" s="27" t="s">
        <v>19</v>
      </c>
      <c r="I55" s="28" t="s">
        <v>21</v>
      </c>
      <c r="J55" s="27" t="s">
        <v>19</v>
      </c>
      <c r="K55" s="27" t="s">
        <v>17</v>
      </c>
      <c r="L55" s="26">
        <v>1794</v>
      </c>
      <c r="M55" s="26">
        <v>380</v>
      </c>
      <c r="N55" s="26">
        <v>59</v>
      </c>
      <c r="O55" s="26">
        <v>12638</v>
      </c>
      <c r="P55" s="27" t="s">
        <v>93</v>
      </c>
      <c r="Q55" s="27">
        <v>0.35499999999999998</v>
      </c>
      <c r="R55" s="26">
        <v>0.55000000000000004</v>
      </c>
      <c r="S55" s="27" t="s">
        <v>50</v>
      </c>
      <c r="T55" s="26" t="str">
        <f t="shared" ref="T55:T78" si="2">IF(S55="Pending","Pending",IF(AND(S55="Success",Q55&lt;=0.55),"PASS","FAIL"))</f>
        <v>PASS</v>
      </c>
      <c r="U55" s="26"/>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row>
    <row r="56" spans="1:53" s="29" customFormat="1" x14ac:dyDescent="0.25">
      <c r="A56" s="26">
        <v>3</v>
      </c>
      <c r="B56" s="27" t="s">
        <v>18</v>
      </c>
      <c r="C56" s="27" t="s">
        <v>19</v>
      </c>
      <c r="D56" s="26">
        <v>3</v>
      </c>
      <c r="E56" s="27" t="s">
        <v>89</v>
      </c>
      <c r="F56" s="27" t="s">
        <v>91</v>
      </c>
      <c r="G56" s="27" t="s">
        <v>186</v>
      </c>
      <c r="H56" s="27" t="s">
        <v>19</v>
      </c>
      <c r="I56" s="28" t="s">
        <v>22</v>
      </c>
      <c r="J56" s="27" t="s">
        <v>19</v>
      </c>
      <c r="K56" s="27" t="s">
        <v>17</v>
      </c>
      <c r="L56" s="26">
        <v>1789</v>
      </c>
      <c r="M56" s="26">
        <v>375</v>
      </c>
      <c r="N56" s="26">
        <v>59</v>
      </c>
      <c r="O56" s="26">
        <v>12817</v>
      </c>
      <c r="P56" s="27" t="s">
        <v>94</v>
      </c>
      <c r="Q56" s="27">
        <v>0.376</v>
      </c>
      <c r="R56" s="26">
        <v>0.55000000000000004</v>
      </c>
      <c r="S56" s="27" t="s">
        <v>50</v>
      </c>
      <c r="T56" s="26" t="str">
        <f t="shared" si="2"/>
        <v>PASS</v>
      </c>
      <c r="U56" s="26"/>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row>
    <row r="57" spans="1:53" s="29" customFormat="1" x14ac:dyDescent="0.25">
      <c r="A57" s="26">
        <v>4</v>
      </c>
      <c r="B57" s="27" t="s">
        <v>18</v>
      </c>
      <c r="C57" s="27" t="s">
        <v>19</v>
      </c>
      <c r="D57" s="26">
        <v>4</v>
      </c>
      <c r="E57" s="27" t="s">
        <v>89</v>
      </c>
      <c r="F57" s="27" t="s">
        <v>91</v>
      </c>
      <c r="G57" s="27" t="s">
        <v>186</v>
      </c>
      <c r="H57" s="27" t="s">
        <v>19</v>
      </c>
      <c r="I57" s="28" t="s">
        <v>23</v>
      </c>
      <c r="J57" s="27" t="s">
        <v>19</v>
      </c>
      <c r="K57" s="27" t="s">
        <v>17</v>
      </c>
      <c r="L57" s="26">
        <v>1970</v>
      </c>
      <c r="M57" s="26">
        <v>379</v>
      </c>
      <c r="N57" s="26">
        <v>57</v>
      </c>
      <c r="O57" s="26">
        <v>13550</v>
      </c>
      <c r="P57" s="27" t="s">
        <v>95</v>
      </c>
      <c r="Q57" s="27">
        <v>0.33600000000000002</v>
      </c>
      <c r="R57" s="26">
        <v>0.55000000000000004</v>
      </c>
      <c r="S57" s="27" t="s">
        <v>50</v>
      </c>
      <c r="T57" s="26" t="str">
        <f t="shared" si="2"/>
        <v>PASS</v>
      </c>
      <c r="U57" s="26"/>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row>
    <row r="58" spans="1:53" s="29" customFormat="1" x14ac:dyDescent="0.25">
      <c r="A58" s="26">
        <v>5</v>
      </c>
      <c r="B58" s="27" t="s">
        <v>18</v>
      </c>
      <c r="C58" s="27" t="s">
        <v>19</v>
      </c>
      <c r="D58" s="26">
        <v>5</v>
      </c>
      <c r="E58" s="27" t="s">
        <v>89</v>
      </c>
      <c r="F58" s="27" t="s">
        <v>91</v>
      </c>
      <c r="G58" s="27" t="s">
        <v>186</v>
      </c>
      <c r="H58" s="27" t="s">
        <v>19</v>
      </c>
      <c r="I58" s="28" t="s">
        <v>24</v>
      </c>
      <c r="J58" s="27" t="s">
        <v>19</v>
      </c>
      <c r="K58" s="27" t="s">
        <v>17</v>
      </c>
      <c r="L58" s="26">
        <v>1760</v>
      </c>
      <c r="M58" s="26">
        <v>379</v>
      </c>
      <c r="N58" s="26">
        <v>58</v>
      </c>
      <c r="O58" s="26">
        <v>13652</v>
      </c>
      <c r="P58" s="27" t="s">
        <v>96</v>
      </c>
      <c r="Q58" s="27">
        <v>0.34100000000000003</v>
      </c>
      <c r="R58" s="26">
        <v>0.55000000000000004</v>
      </c>
      <c r="S58" s="27" t="s">
        <v>50</v>
      </c>
      <c r="T58" s="26" t="str">
        <f t="shared" si="2"/>
        <v>PASS</v>
      </c>
      <c r="U58" s="26"/>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row>
    <row r="59" spans="1:53" s="29" customFormat="1" x14ac:dyDescent="0.25">
      <c r="A59" s="26">
        <v>6</v>
      </c>
      <c r="B59" s="27" t="s">
        <v>18</v>
      </c>
      <c r="C59" s="27" t="s">
        <v>27</v>
      </c>
      <c r="D59" s="26">
        <v>1</v>
      </c>
      <c r="E59" s="27" t="s">
        <v>89</v>
      </c>
      <c r="F59" s="27" t="s">
        <v>100</v>
      </c>
      <c r="G59" s="27" t="s">
        <v>186</v>
      </c>
      <c r="H59" s="27" t="s">
        <v>27</v>
      </c>
      <c r="I59" s="28" t="s">
        <v>34</v>
      </c>
      <c r="J59" s="27" t="s">
        <v>27</v>
      </c>
      <c r="K59" s="27" t="s">
        <v>17</v>
      </c>
      <c r="L59" s="26">
        <v>6004</v>
      </c>
      <c r="M59" s="26">
        <v>375</v>
      </c>
      <c r="N59" s="26">
        <v>59</v>
      </c>
      <c r="O59" s="26">
        <v>17147</v>
      </c>
      <c r="P59" s="27" t="s">
        <v>98</v>
      </c>
      <c r="Q59" s="27">
        <v>0.33100000000000002</v>
      </c>
      <c r="R59" s="26">
        <v>0.55000000000000004</v>
      </c>
      <c r="S59" s="27" t="s">
        <v>50</v>
      </c>
      <c r="T59" s="26" t="str">
        <f t="shared" si="2"/>
        <v>PASS</v>
      </c>
      <c r="U59" s="26"/>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row>
    <row r="60" spans="1:53" s="29" customFormat="1" x14ac:dyDescent="0.25">
      <c r="A60" s="26">
        <v>7</v>
      </c>
      <c r="B60" s="27" t="s">
        <v>18</v>
      </c>
      <c r="C60" s="27" t="s">
        <v>27</v>
      </c>
      <c r="D60" s="26">
        <v>2</v>
      </c>
      <c r="E60" s="27" t="s">
        <v>89</v>
      </c>
      <c r="F60" s="27" t="s">
        <v>100</v>
      </c>
      <c r="G60" s="27" t="s">
        <v>186</v>
      </c>
      <c r="H60" s="27" t="s">
        <v>27</v>
      </c>
      <c r="I60" s="28" t="s">
        <v>35</v>
      </c>
      <c r="J60" s="27" t="s">
        <v>27</v>
      </c>
      <c r="K60" s="27" t="s">
        <v>17</v>
      </c>
      <c r="L60" s="26">
        <v>1781</v>
      </c>
      <c r="M60" s="26">
        <v>381</v>
      </c>
      <c r="N60" s="26">
        <v>59</v>
      </c>
      <c r="O60" s="26">
        <v>16514</v>
      </c>
      <c r="P60" s="27" t="s">
        <v>99</v>
      </c>
      <c r="Q60" s="27">
        <v>0.35699999999999998</v>
      </c>
      <c r="R60" s="26">
        <v>0.55000000000000004</v>
      </c>
      <c r="S60" s="27" t="s">
        <v>50</v>
      </c>
      <c r="T60" s="26" t="str">
        <f t="shared" si="2"/>
        <v>PASS</v>
      </c>
      <c r="U60" s="26"/>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row>
    <row r="61" spans="1:53" s="29" customFormat="1" x14ac:dyDescent="0.25">
      <c r="A61" s="26">
        <v>8</v>
      </c>
      <c r="B61" s="27" t="s">
        <v>18</v>
      </c>
      <c r="C61" s="27" t="s">
        <v>27</v>
      </c>
      <c r="D61" s="26">
        <v>3</v>
      </c>
      <c r="E61" s="27" t="s">
        <v>89</v>
      </c>
      <c r="F61" s="27" t="s">
        <v>100</v>
      </c>
      <c r="G61" s="27" t="s">
        <v>186</v>
      </c>
      <c r="H61" s="27" t="s">
        <v>27</v>
      </c>
      <c r="I61" s="28" t="s">
        <v>36</v>
      </c>
      <c r="J61" s="27" t="s">
        <v>27</v>
      </c>
      <c r="K61" s="27" t="s">
        <v>17</v>
      </c>
      <c r="L61" s="26">
        <v>1771</v>
      </c>
      <c r="M61" s="26">
        <v>368</v>
      </c>
      <c r="N61" s="26">
        <v>56</v>
      </c>
      <c r="O61" s="26">
        <v>17297</v>
      </c>
      <c r="P61" s="27" t="s">
        <v>101</v>
      </c>
      <c r="Q61" s="27">
        <v>0.311</v>
      </c>
      <c r="R61" s="26">
        <v>0.55000000000000004</v>
      </c>
      <c r="S61" s="27" t="s">
        <v>50</v>
      </c>
      <c r="T61" s="26" t="str">
        <f t="shared" si="2"/>
        <v>PASS</v>
      </c>
      <c r="U61" s="26"/>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row>
    <row r="62" spans="1:53" s="29" customFormat="1" x14ac:dyDescent="0.25">
      <c r="A62" s="26">
        <v>9</v>
      </c>
      <c r="B62" s="27" t="s">
        <v>18</v>
      </c>
      <c r="C62" s="27" t="s">
        <v>27</v>
      </c>
      <c r="D62" s="26">
        <v>4</v>
      </c>
      <c r="E62" s="27" t="s">
        <v>89</v>
      </c>
      <c r="F62" s="27" t="s">
        <v>100</v>
      </c>
      <c r="G62" s="27" t="s">
        <v>186</v>
      </c>
      <c r="H62" s="27" t="s">
        <v>27</v>
      </c>
      <c r="I62" s="28" t="s">
        <v>37</v>
      </c>
      <c r="J62" s="27" t="s">
        <v>27</v>
      </c>
      <c r="K62" s="27" t="s">
        <v>17</v>
      </c>
      <c r="L62" s="26">
        <v>1777</v>
      </c>
      <c r="M62" s="26">
        <v>383</v>
      </c>
      <c r="N62" s="26">
        <v>61</v>
      </c>
      <c r="O62" s="26">
        <v>17183</v>
      </c>
      <c r="P62" s="27" t="s">
        <v>102</v>
      </c>
      <c r="Q62" s="27">
        <v>0.14699999999999999</v>
      </c>
      <c r="R62" s="26">
        <v>0.55000000000000004</v>
      </c>
      <c r="S62" s="27" t="s">
        <v>50</v>
      </c>
      <c r="T62" s="26" t="str">
        <f t="shared" si="2"/>
        <v>PASS</v>
      </c>
      <c r="U62" s="26"/>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row>
    <row r="63" spans="1:53" s="29" customFormat="1" x14ac:dyDescent="0.25">
      <c r="A63" s="26">
        <v>10</v>
      </c>
      <c r="B63" s="27" t="s">
        <v>18</v>
      </c>
      <c r="C63" s="27" t="s">
        <v>27</v>
      </c>
      <c r="D63" s="26">
        <v>5</v>
      </c>
      <c r="E63" s="27" t="s">
        <v>89</v>
      </c>
      <c r="F63" s="27" t="s">
        <v>100</v>
      </c>
      <c r="G63" s="27" t="s">
        <v>186</v>
      </c>
      <c r="H63" s="27" t="s">
        <v>27</v>
      </c>
      <c r="I63" s="28" t="s">
        <v>38</v>
      </c>
      <c r="J63" s="27" t="s">
        <v>27</v>
      </c>
      <c r="K63" s="27" t="s">
        <v>17</v>
      </c>
      <c r="L63" s="26">
        <v>4790</v>
      </c>
      <c r="M63" s="26">
        <v>376</v>
      </c>
      <c r="N63" s="26">
        <v>58</v>
      </c>
      <c r="O63" s="26">
        <v>16998</v>
      </c>
      <c r="P63" s="27" t="s">
        <v>103</v>
      </c>
      <c r="Q63" s="27">
        <v>0.17899999999999999</v>
      </c>
      <c r="R63" s="26">
        <v>0.55000000000000004</v>
      </c>
      <c r="S63" s="27" t="s">
        <v>50</v>
      </c>
      <c r="T63" s="26" t="str">
        <f t="shared" si="2"/>
        <v>PASS</v>
      </c>
      <c r="U63" s="26"/>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row>
    <row r="64" spans="1:53" s="29" customFormat="1" x14ac:dyDescent="0.25">
      <c r="A64" s="26">
        <v>11</v>
      </c>
      <c r="B64" s="27" t="s">
        <v>18</v>
      </c>
      <c r="C64" s="27" t="s">
        <v>25</v>
      </c>
      <c r="D64" s="26">
        <v>1</v>
      </c>
      <c r="E64" s="27" t="s">
        <v>89</v>
      </c>
      <c r="F64" s="27" t="s">
        <v>104</v>
      </c>
      <c r="G64" s="27" t="s">
        <v>186</v>
      </c>
      <c r="H64" s="27" t="s">
        <v>25</v>
      </c>
      <c r="I64" s="28" t="s">
        <v>29</v>
      </c>
      <c r="J64" s="27" t="s">
        <v>25</v>
      </c>
      <c r="K64" s="27" t="s">
        <v>17</v>
      </c>
      <c r="L64" s="26">
        <v>1425</v>
      </c>
      <c r="M64" s="26">
        <v>992</v>
      </c>
      <c r="N64" s="26">
        <v>84</v>
      </c>
      <c r="O64" s="26">
        <v>16015</v>
      </c>
      <c r="P64" s="27" t="s">
        <v>105</v>
      </c>
      <c r="Q64" s="27">
        <v>0.11700000000000001</v>
      </c>
      <c r="R64" s="26">
        <v>0.55000000000000004</v>
      </c>
      <c r="S64" s="27" t="s">
        <v>50</v>
      </c>
      <c r="T64" s="26" t="str">
        <f t="shared" si="2"/>
        <v>PASS</v>
      </c>
      <c r="U64" s="26"/>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row>
    <row r="65" spans="1:53" s="29" customFormat="1" x14ac:dyDescent="0.25">
      <c r="A65" s="26">
        <v>12</v>
      </c>
      <c r="B65" s="27" t="s">
        <v>18</v>
      </c>
      <c r="C65" s="27" t="s">
        <v>25</v>
      </c>
      <c r="D65" s="26">
        <v>2</v>
      </c>
      <c r="E65" s="27" t="s">
        <v>89</v>
      </c>
      <c r="F65" s="27" t="s">
        <v>104</v>
      </c>
      <c r="G65" s="27" t="s">
        <v>186</v>
      </c>
      <c r="H65" s="27" t="s">
        <v>25</v>
      </c>
      <c r="I65" s="28" t="s">
        <v>30</v>
      </c>
      <c r="J65" s="27" t="s">
        <v>25</v>
      </c>
      <c r="K65" s="27" t="s">
        <v>17</v>
      </c>
      <c r="L65" s="26">
        <v>1843</v>
      </c>
      <c r="M65" s="26">
        <v>370</v>
      </c>
      <c r="N65" s="26">
        <v>58</v>
      </c>
      <c r="O65" s="26">
        <v>14210</v>
      </c>
      <c r="P65" s="27" t="s">
        <v>106</v>
      </c>
      <c r="Q65" s="27">
        <v>0.20699999999999999</v>
      </c>
      <c r="R65" s="26">
        <v>0.55000000000000004</v>
      </c>
      <c r="S65" s="27" t="s">
        <v>50</v>
      </c>
      <c r="T65" s="26" t="str">
        <f t="shared" si="2"/>
        <v>PASS</v>
      </c>
      <c r="U65" s="26"/>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row>
    <row r="66" spans="1:53" s="29" customFormat="1" x14ac:dyDescent="0.25">
      <c r="A66" s="26">
        <v>13</v>
      </c>
      <c r="B66" s="27" t="s">
        <v>18</v>
      </c>
      <c r="C66" s="27" t="s">
        <v>25</v>
      </c>
      <c r="D66" s="26">
        <v>3</v>
      </c>
      <c r="E66" s="27" t="s">
        <v>89</v>
      </c>
      <c r="F66" s="27" t="s">
        <v>104</v>
      </c>
      <c r="G66" s="27" t="s">
        <v>186</v>
      </c>
      <c r="H66" s="27" t="s">
        <v>25</v>
      </c>
      <c r="I66" s="28" t="s">
        <v>31</v>
      </c>
      <c r="J66" s="27" t="s">
        <v>25</v>
      </c>
      <c r="K66" s="27" t="s">
        <v>17</v>
      </c>
      <c r="L66" s="26">
        <v>1808</v>
      </c>
      <c r="M66" s="26">
        <v>362</v>
      </c>
      <c r="N66" s="26">
        <v>58</v>
      </c>
      <c r="O66" s="26">
        <v>14330</v>
      </c>
      <c r="P66" s="27" t="s">
        <v>107</v>
      </c>
      <c r="Q66" s="27">
        <v>0.17499999999999999</v>
      </c>
      <c r="R66" s="26">
        <v>0.55000000000000004</v>
      </c>
      <c r="S66" s="27" t="s">
        <v>50</v>
      </c>
      <c r="T66" s="26" t="str">
        <f t="shared" si="2"/>
        <v>PASS</v>
      </c>
      <c r="U66" s="26"/>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row>
    <row r="67" spans="1:53" s="29" customFormat="1" x14ac:dyDescent="0.25">
      <c r="A67" s="26">
        <v>14</v>
      </c>
      <c r="B67" s="27" t="s">
        <v>18</v>
      </c>
      <c r="C67" s="27" t="s">
        <v>25</v>
      </c>
      <c r="D67" s="26">
        <v>4</v>
      </c>
      <c r="E67" s="27" t="s">
        <v>89</v>
      </c>
      <c r="F67" s="27" t="s">
        <v>104</v>
      </c>
      <c r="G67" s="27" t="s">
        <v>186</v>
      </c>
      <c r="H67" s="27" t="s">
        <v>25</v>
      </c>
      <c r="I67" s="28" t="s">
        <v>32</v>
      </c>
      <c r="J67" s="27" t="s">
        <v>25</v>
      </c>
      <c r="K67" s="27" t="s">
        <v>17</v>
      </c>
      <c r="L67" s="26">
        <v>2002</v>
      </c>
      <c r="M67" s="26">
        <v>377</v>
      </c>
      <c r="N67" s="26">
        <v>59</v>
      </c>
      <c r="O67" s="26">
        <v>12720</v>
      </c>
      <c r="P67" s="27" t="s">
        <v>108</v>
      </c>
      <c r="Q67" s="27">
        <v>0.33400000000000002</v>
      </c>
      <c r="R67" s="26">
        <v>0.55000000000000004</v>
      </c>
      <c r="S67" s="27" t="s">
        <v>50</v>
      </c>
      <c r="T67" s="26" t="str">
        <f t="shared" si="2"/>
        <v>PASS</v>
      </c>
      <c r="U67" s="26"/>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row>
    <row r="68" spans="1:53" s="29" customFormat="1" x14ac:dyDescent="0.25">
      <c r="A68" s="26">
        <v>15</v>
      </c>
      <c r="B68" s="27" t="s">
        <v>18</v>
      </c>
      <c r="C68" s="27" t="s">
        <v>25</v>
      </c>
      <c r="D68" s="26">
        <v>5</v>
      </c>
      <c r="E68" s="27" t="s">
        <v>89</v>
      </c>
      <c r="F68" s="27" t="s">
        <v>104</v>
      </c>
      <c r="G68" s="27" t="s">
        <v>186</v>
      </c>
      <c r="H68" s="27" t="s">
        <v>25</v>
      </c>
      <c r="I68" s="28" t="s">
        <v>33</v>
      </c>
      <c r="J68" s="27" t="s">
        <v>25</v>
      </c>
      <c r="K68" s="27" t="s">
        <v>17</v>
      </c>
      <c r="L68" s="26">
        <v>1880</v>
      </c>
      <c r="M68" s="26">
        <v>368</v>
      </c>
      <c r="N68" s="26">
        <v>58</v>
      </c>
      <c r="O68" s="26">
        <v>13792</v>
      </c>
      <c r="P68" s="27" t="s">
        <v>109</v>
      </c>
      <c r="Q68" s="27">
        <v>0.311</v>
      </c>
      <c r="R68" s="26">
        <v>0.55000000000000004</v>
      </c>
      <c r="S68" s="27" t="s">
        <v>50</v>
      </c>
      <c r="T68" s="26" t="str">
        <f t="shared" si="2"/>
        <v>PASS</v>
      </c>
      <c r="U68" s="26"/>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row>
    <row r="69" spans="1:53" s="29" customFormat="1" x14ac:dyDescent="0.25">
      <c r="A69" s="26">
        <v>16</v>
      </c>
      <c r="B69" s="27" t="s">
        <v>18</v>
      </c>
      <c r="C69" s="27" t="s">
        <v>28</v>
      </c>
      <c r="D69" s="26">
        <v>1</v>
      </c>
      <c r="E69" s="27" t="s">
        <v>89</v>
      </c>
      <c r="F69" s="27" t="s">
        <v>110</v>
      </c>
      <c r="G69" s="27" t="s">
        <v>186</v>
      </c>
      <c r="H69" s="27" t="s">
        <v>28</v>
      </c>
      <c r="I69" s="28" t="s">
        <v>39</v>
      </c>
      <c r="J69" s="27" t="s">
        <v>28</v>
      </c>
      <c r="K69" s="27" t="s">
        <v>17</v>
      </c>
      <c r="L69" s="26">
        <v>1801</v>
      </c>
      <c r="M69" s="26">
        <v>375</v>
      </c>
      <c r="N69" s="26">
        <v>60</v>
      </c>
      <c r="O69" s="26">
        <v>23037</v>
      </c>
      <c r="P69" s="27" t="s">
        <v>111</v>
      </c>
      <c r="Q69" s="27">
        <v>0.2</v>
      </c>
      <c r="R69" s="26">
        <v>0.55000000000000004</v>
      </c>
      <c r="S69" s="27" t="s">
        <v>50</v>
      </c>
      <c r="T69" s="26" t="str">
        <f t="shared" si="2"/>
        <v>PASS</v>
      </c>
      <c r="U69" s="26"/>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row>
    <row r="70" spans="1:53" s="29" customFormat="1" x14ac:dyDescent="0.25">
      <c r="A70" s="26">
        <v>17</v>
      </c>
      <c r="B70" s="27" t="s">
        <v>18</v>
      </c>
      <c r="C70" s="27" t="s">
        <v>28</v>
      </c>
      <c r="D70" s="26">
        <v>2</v>
      </c>
      <c r="E70" s="27" t="s">
        <v>89</v>
      </c>
      <c r="F70" s="27" t="s">
        <v>110</v>
      </c>
      <c r="G70" s="27" t="s">
        <v>186</v>
      </c>
      <c r="H70" s="27" t="s">
        <v>28</v>
      </c>
      <c r="I70" s="28" t="s">
        <v>40</v>
      </c>
      <c r="J70" s="27" t="s">
        <v>28</v>
      </c>
      <c r="K70" s="27" t="s">
        <v>17</v>
      </c>
      <c r="L70" s="26">
        <v>1834</v>
      </c>
      <c r="M70" s="26">
        <v>368</v>
      </c>
      <c r="N70" s="26">
        <v>59</v>
      </c>
      <c r="O70" s="26">
        <v>19762</v>
      </c>
      <c r="P70" s="27" t="s">
        <v>112</v>
      </c>
      <c r="Q70" s="27">
        <v>0.45500000000000002</v>
      </c>
      <c r="R70" s="26">
        <v>0.55000000000000004</v>
      </c>
      <c r="S70" s="27" t="s">
        <v>50</v>
      </c>
      <c r="T70" s="26" t="str">
        <f t="shared" si="2"/>
        <v>PASS</v>
      </c>
      <c r="U70" s="26"/>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row>
    <row r="71" spans="1:53" s="29" customFormat="1" x14ac:dyDescent="0.25">
      <c r="A71" s="26">
        <v>18</v>
      </c>
      <c r="B71" s="27" t="s">
        <v>18</v>
      </c>
      <c r="C71" s="27" t="s">
        <v>28</v>
      </c>
      <c r="D71" s="26">
        <v>3</v>
      </c>
      <c r="E71" s="27" t="s">
        <v>89</v>
      </c>
      <c r="F71" s="27" t="s">
        <v>110</v>
      </c>
      <c r="G71" s="27" t="s">
        <v>186</v>
      </c>
      <c r="H71" s="27" t="s">
        <v>28</v>
      </c>
      <c r="I71" s="28" t="s">
        <v>41</v>
      </c>
      <c r="J71" s="27" t="s">
        <v>28</v>
      </c>
      <c r="K71" s="27" t="s">
        <v>17</v>
      </c>
      <c r="L71" s="27">
        <v>1827</v>
      </c>
      <c r="M71" s="26">
        <v>372</v>
      </c>
      <c r="N71" s="26">
        <v>59</v>
      </c>
      <c r="O71" s="26">
        <v>21100</v>
      </c>
      <c r="P71" s="27" t="s">
        <v>113</v>
      </c>
      <c r="Q71" s="27">
        <v>0.371</v>
      </c>
      <c r="R71" s="26">
        <v>0.55000000000000004</v>
      </c>
      <c r="S71" s="27" t="s">
        <v>50</v>
      </c>
      <c r="T71" s="26" t="str">
        <f t="shared" si="2"/>
        <v>PASS</v>
      </c>
      <c r="U71" s="26"/>
      <c r="V71" s="30"/>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row>
    <row r="72" spans="1:53" s="29" customFormat="1" x14ac:dyDescent="0.25">
      <c r="A72" s="26">
        <v>19</v>
      </c>
      <c r="B72" s="27" t="s">
        <v>18</v>
      </c>
      <c r="C72" s="27" t="s">
        <v>28</v>
      </c>
      <c r="D72" s="26">
        <v>4</v>
      </c>
      <c r="E72" s="27" t="s">
        <v>89</v>
      </c>
      <c r="F72" s="27" t="s">
        <v>110</v>
      </c>
      <c r="G72" s="27" t="s">
        <v>186</v>
      </c>
      <c r="H72" s="27" t="s">
        <v>28</v>
      </c>
      <c r="I72" s="28" t="s">
        <v>42</v>
      </c>
      <c r="J72" s="27" t="s">
        <v>28</v>
      </c>
      <c r="K72" s="27" t="s">
        <v>17</v>
      </c>
      <c r="L72" s="26">
        <v>1778</v>
      </c>
      <c r="M72" s="26">
        <v>377</v>
      </c>
      <c r="N72" s="26">
        <v>60</v>
      </c>
      <c r="O72" s="26">
        <v>18649</v>
      </c>
      <c r="P72" s="27" t="s">
        <v>114</v>
      </c>
      <c r="Q72" s="27">
        <v>0.627</v>
      </c>
      <c r="R72" s="26">
        <v>0.55000000000000004</v>
      </c>
      <c r="S72" s="27" t="s">
        <v>50</v>
      </c>
      <c r="T72" s="31" t="str">
        <f t="shared" si="2"/>
        <v>FAIL</v>
      </c>
      <c r="U72" s="32" t="s">
        <v>187</v>
      </c>
      <c r="V72" s="30"/>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row>
    <row r="73" spans="1:53" s="29" customFormat="1" x14ac:dyDescent="0.25">
      <c r="A73" s="26">
        <v>20</v>
      </c>
      <c r="B73" s="27" t="s">
        <v>18</v>
      </c>
      <c r="C73" s="27" t="s">
        <v>28</v>
      </c>
      <c r="D73" s="26">
        <v>5</v>
      </c>
      <c r="E73" s="27" t="s">
        <v>89</v>
      </c>
      <c r="F73" s="27" t="s">
        <v>110</v>
      </c>
      <c r="G73" s="27" t="s">
        <v>186</v>
      </c>
      <c r="H73" s="27" t="s">
        <v>28</v>
      </c>
      <c r="I73" s="28" t="s">
        <v>43</v>
      </c>
      <c r="J73" s="27" t="s">
        <v>28</v>
      </c>
      <c r="K73" s="27" t="s">
        <v>17</v>
      </c>
      <c r="L73" s="26">
        <v>1829</v>
      </c>
      <c r="M73" s="26">
        <v>373</v>
      </c>
      <c r="N73" s="26">
        <v>58</v>
      </c>
      <c r="O73" s="26">
        <v>19604</v>
      </c>
      <c r="P73" s="27" t="s">
        <v>115</v>
      </c>
      <c r="Q73" s="27">
        <v>0.42799999999999999</v>
      </c>
      <c r="R73" s="26">
        <v>0.55000000000000004</v>
      </c>
      <c r="S73" s="27" t="s">
        <v>50</v>
      </c>
      <c r="T73" s="26" t="str">
        <f t="shared" si="2"/>
        <v>PASS</v>
      </c>
      <c r="U73" s="26"/>
      <c r="V73" s="30"/>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row>
    <row r="74" spans="1:53" s="29" customFormat="1" x14ac:dyDescent="0.25">
      <c r="A74" s="26">
        <v>21</v>
      </c>
      <c r="B74" s="27" t="s">
        <v>18</v>
      </c>
      <c r="C74" s="27" t="s">
        <v>118</v>
      </c>
      <c r="D74" s="26">
        <v>1</v>
      </c>
      <c r="E74" s="27" t="s">
        <v>89</v>
      </c>
      <c r="F74" s="27" t="s">
        <v>124</v>
      </c>
      <c r="G74" s="27" t="s">
        <v>186</v>
      </c>
      <c r="H74" s="27" t="s">
        <v>118</v>
      </c>
      <c r="I74" s="28" t="s">
        <v>119</v>
      </c>
      <c r="J74" s="27" t="s">
        <v>118</v>
      </c>
      <c r="K74" s="27" t="s">
        <v>17</v>
      </c>
      <c r="L74" s="27">
        <v>1017</v>
      </c>
      <c r="M74" s="26">
        <v>375</v>
      </c>
      <c r="N74" s="26">
        <v>57</v>
      </c>
      <c r="O74" s="26">
        <v>13362</v>
      </c>
      <c r="P74" s="27" t="s">
        <v>125</v>
      </c>
      <c r="Q74" s="27">
        <v>0.32</v>
      </c>
      <c r="R74" s="26">
        <v>0.55000000000000004</v>
      </c>
      <c r="S74" s="27" t="s">
        <v>50</v>
      </c>
      <c r="T74" s="26" t="str">
        <f t="shared" si="2"/>
        <v>PASS</v>
      </c>
      <c r="U74" s="26"/>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row>
    <row r="75" spans="1:53" s="29" customFormat="1" x14ac:dyDescent="0.25">
      <c r="A75" s="26">
        <v>22</v>
      </c>
      <c r="B75" s="27" t="s">
        <v>18</v>
      </c>
      <c r="C75" s="27" t="s">
        <v>118</v>
      </c>
      <c r="D75" s="26">
        <v>2</v>
      </c>
      <c r="E75" s="27" t="s">
        <v>89</v>
      </c>
      <c r="F75" s="27" t="s">
        <v>124</v>
      </c>
      <c r="G75" s="27" t="s">
        <v>186</v>
      </c>
      <c r="H75" s="27" t="s">
        <v>118</v>
      </c>
      <c r="I75" s="28" t="s">
        <v>120</v>
      </c>
      <c r="J75" s="27" t="s">
        <v>118</v>
      </c>
      <c r="K75" s="27" t="s">
        <v>17</v>
      </c>
      <c r="L75" s="27">
        <v>1824</v>
      </c>
      <c r="M75" s="26">
        <v>379</v>
      </c>
      <c r="N75" s="26">
        <v>57</v>
      </c>
      <c r="O75" s="26">
        <v>13778</v>
      </c>
      <c r="P75" s="27" t="s">
        <v>126</v>
      </c>
      <c r="Q75" s="27">
        <v>0.27800000000000002</v>
      </c>
      <c r="R75" s="26">
        <v>0.55000000000000004</v>
      </c>
      <c r="S75" s="27" t="s">
        <v>50</v>
      </c>
      <c r="T75" s="26" t="str">
        <f t="shared" si="2"/>
        <v>PASS</v>
      </c>
      <c r="U75" s="26"/>
      <c r="V75" s="30"/>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row>
    <row r="76" spans="1:53" s="29" customFormat="1" x14ac:dyDescent="0.25">
      <c r="A76" s="26">
        <v>23</v>
      </c>
      <c r="B76" s="27" t="s">
        <v>18</v>
      </c>
      <c r="C76" s="27" t="s">
        <v>118</v>
      </c>
      <c r="D76" s="26">
        <v>3</v>
      </c>
      <c r="E76" s="27" t="s">
        <v>89</v>
      </c>
      <c r="F76" s="27" t="s">
        <v>124</v>
      </c>
      <c r="G76" s="27" t="s">
        <v>186</v>
      </c>
      <c r="H76" s="27" t="s">
        <v>118</v>
      </c>
      <c r="I76" s="28" t="s">
        <v>121</v>
      </c>
      <c r="J76" s="27" t="s">
        <v>118</v>
      </c>
      <c r="K76" s="27" t="s">
        <v>17</v>
      </c>
      <c r="L76" s="26">
        <v>1786</v>
      </c>
      <c r="M76" s="26">
        <v>369</v>
      </c>
      <c r="N76" s="26">
        <v>58</v>
      </c>
      <c r="O76" s="26">
        <v>13616</v>
      </c>
      <c r="P76" s="27" t="s">
        <v>127</v>
      </c>
      <c r="Q76" s="27">
        <v>0.30399999999999999</v>
      </c>
      <c r="R76" s="26">
        <v>0.55000000000000004</v>
      </c>
      <c r="S76" s="27" t="s">
        <v>50</v>
      </c>
      <c r="T76" s="26" t="str">
        <f t="shared" si="2"/>
        <v>PASS</v>
      </c>
      <c r="U76" s="26"/>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row>
    <row r="77" spans="1:53" s="29" customFormat="1" x14ac:dyDescent="0.25">
      <c r="A77" s="26">
        <v>24</v>
      </c>
      <c r="B77" s="27" t="s">
        <v>18</v>
      </c>
      <c r="C77" s="27" t="s">
        <v>118</v>
      </c>
      <c r="D77" s="26">
        <v>4</v>
      </c>
      <c r="E77" s="27" t="s">
        <v>89</v>
      </c>
      <c r="F77" s="27" t="s">
        <v>124</v>
      </c>
      <c r="G77" s="27" t="s">
        <v>186</v>
      </c>
      <c r="H77" s="27" t="s">
        <v>118</v>
      </c>
      <c r="I77" s="28" t="s">
        <v>122</v>
      </c>
      <c r="J77" s="27" t="s">
        <v>118</v>
      </c>
      <c r="K77" s="27" t="s">
        <v>17</v>
      </c>
      <c r="L77" s="26">
        <v>1785</v>
      </c>
      <c r="M77" s="26">
        <v>328</v>
      </c>
      <c r="N77" s="26">
        <v>56</v>
      </c>
      <c r="O77" s="26">
        <v>14107</v>
      </c>
      <c r="P77" s="27" t="s">
        <v>128</v>
      </c>
      <c r="Q77" s="27">
        <v>0.23</v>
      </c>
      <c r="R77" s="26">
        <v>0.55000000000000004</v>
      </c>
      <c r="S77" s="27" t="s">
        <v>50</v>
      </c>
      <c r="T77" s="26" t="str">
        <f t="shared" si="2"/>
        <v>PASS</v>
      </c>
      <c r="U77" s="26"/>
      <c r="V77" s="30"/>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row>
    <row r="78" spans="1:53" s="29" customFormat="1" x14ac:dyDescent="0.25">
      <c r="A78" s="26">
        <v>25</v>
      </c>
      <c r="B78" s="27" t="s">
        <v>18</v>
      </c>
      <c r="C78" s="27" t="s">
        <v>118</v>
      </c>
      <c r="D78" s="26">
        <v>5</v>
      </c>
      <c r="E78" s="27" t="s">
        <v>89</v>
      </c>
      <c r="F78" s="27" t="s">
        <v>124</v>
      </c>
      <c r="G78" s="27" t="s">
        <v>186</v>
      </c>
      <c r="H78" s="27" t="s">
        <v>118</v>
      </c>
      <c r="I78" s="28" t="s">
        <v>123</v>
      </c>
      <c r="J78" s="27" t="s">
        <v>118</v>
      </c>
      <c r="K78" s="27" t="s">
        <v>17</v>
      </c>
      <c r="L78" s="26">
        <v>1813</v>
      </c>
      <c r="M78" s="26">
        <v>372</v>
      </c>
      <c r="N78" s="26">
        <v>57</v>
      </c>
      <c r="O78" s="26">
        <v>13393</v>
      </c>
      <c r="P78" s="27" t="s">
        <v>129</v>
      </c>
      <c r="Q78" s="27">
        <v>0.311</v>
      </c>
      <c r="R78" s="26">
        <v>0.55000000000000004</v>
      </c>
      <c r="S78" s="27" t="s">
        <v>50</v>
      </c>
      <c r="T78" s="26" t="str">
        <f t="shared" si="2"/>
        <v>PASS</v>
      </c>
      <c r="U78" s="26"/>
      <c r="V78" s="30"/>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row>
    <row r="79" spans="1:53" x14ac:dyDescent="0.25">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row>
    <row r="80" spans="1:53" x14ac:dyDescent="0.25">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row>
    <row r="81" spans="23:53" x14ac:dyDescent="0.25">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row>
    <row r="82" spans="23:53" x14ac:dyDescent="0.25">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row>
    <row r="83" spans="23:53" x14ac:dyDescent="0.25">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row>
    <row r="84" spans="23:53" x14ac:dyDescent="0.25">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row>
    <row r="85" spans="23:53" x14ac:dyDescent="0.25">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row>
    <row r="86" spans="23:53" x14ac:dyDescent="0.25">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row>
    <row r="87" spans="23:53" x14ac:dyDescent="0.25">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row>
    <row r="88" spans="23:53" x14ac:dyDescent="0.25">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row>
    <row r="89" spans="23:53" x14ac:dyDescent="0.25">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row>
    <row r="90" spans="23:53" x14ac:dyDescent="0.25">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row>
    <row r="91" spans="23:53" x14ac:dyDescent="0.25">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row>
    <row r="92" spans="23:53" x14ac:dyDescent="0.25">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row>
    <row r="93" spans="23:53" x14ac:dyDescent="0.25">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row>
    <row r="94" spans="23:53" x14ac:dyDescent="0.25">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row>
    <row r="95" spans="23:53" x14ac:dyDescent="0.25">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row>
    <row r="96" spans="23:53" x14ac:dyDescent="0.25">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row>
    <row r="97" spans="23:53" x14ac:dyDescent="0.25">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row>
    <row r="98" spans="23:53" x14ac:dyDescent="0.25">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row>
    <row r="99" spans="23:53" x14ac:dyDescent="0.25">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row>
    <row r="100" spans="23:53" x14ac:dyDescent="0.25">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row>
    <row r="101" spans="23:53" x14ac:dyDescent="0.25">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row>
    <row r="102" spans="23:53" x14ac:dyDescent="0.25">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row>
    <row r="103" spans="23:53" x14ac:dyDescent="0.25">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row>
    <row r="104" spans="23:53" x14ac:dyDescent="0.25">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row>
    <row r="105" spans="23:53" x14ac:dyDescent="0.25">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row>
    <row r="106" spans="23:53" x14ac:dyDescent="0.25">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row>
    <row r="107" spans="23:53" x14ac:dyDescent="0.25">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row>
    <row r="108" spans="23:53" x14ac:dyDescent="0.25">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row>
    <row r="109" spans="23:53" x14ac:dyDescent="0.25">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row>
    <row r="110" spans="23:53" x14ac:dyDescent="0.25">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row>
    <row r="111" spans="23:53" x14ac:dyDescent="0.25">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row>
    <row r="112" spans="23:53" x14ac:dyDescent="0.25">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row>
    <row r="113" spans="23:53" x14ac:dyDescent="0.25">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row>
    <row r="114" spans="23:53" x14ac:dyDescent="0.25">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row>
    <row r="115" spans="23:53" x14ac:dyDescent="0.25">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row>
    <row r="116" spans="23:53" x14ac:dyDescent="0.25">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row>
    <row r="117" spans="23:53" x14ac:dyDescent="0.25">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row>
    <row r="118" spans="23:53" x14ac:dyDescent="0.25">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row>
    <row r="119" spans="23:53" x14ac:dyDescent="0.25">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row>
    <row r="120" spans="23:53" x14ac:dyDescent="0.25">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row>
    <row r="121" spans="23:53" x14ac:dyDescent="0.25">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row>
    <row r="122" spans="23:53" x14ac:dyDescent="0.25">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row>
    <row r="123" spans="23:53" x14ac:dyDescent="0.25">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row>
    <row r="124" spans="23:53" x14ac:dyDescent="0.25">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row>
    <row r="125" spans="23:53" x14ac:dyDescent="0.25">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row>
    <row r="126" spans="23:53" x14ac:dyDescent="0.25">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row>
    <row r="127" spans="23:53" x14ac:dyDescent="0.25">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row>
    <row r="128" spans="23:53" x14ac:dyDescent="0.25">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row>
    <row r="129" spans="23:53" x14ac:dyDescent="0.25">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row>
    <row r="130" spans="23:53" x14ac:dyDescent="0.25">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row>
    <row r="131" spans="23:53" x14ac:dyDescent="0.25">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row>
    <row r="132" spans="23:53" x14ac:dyDescent="0.25">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row>
    <row r="133" spans="23:53" x14ac:dyDescent="0.25">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row>
    <row r="134" spans="23:53" x14ac:dyDescent="0.25">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row>
    <row r="135" spans="23:53" x14ac:dyDescent="0.25">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row>
    <row r="136" spans="23:53" x14ac:dyDescent="0.25">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row>
    <row r="137" spans="23:53" x14ac:dyDescent="0.25">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row>
    <row r="138" spans="23:53" x14ac:dyDescent="0.25">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row>
    <row r="139" spans="23:53" x14ac:dyDescent="0.25">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row>
    <row r="140" spans="23:53" x14ac:dyDescent="0.25">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row>
    <row r="141" spans="23:53" x14ac:dyDescent="0.25">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row>
    <row r="142" spans="23:53" x14ac:dyDescent="0.25">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row>
    <row r="143" spans="23:53" x14ac:dyDescent="0.25">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row>
    <row r="144" spans="23:53" x14ac:dyDescent="0.25">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row>
    <row r="145" spans="23:53" x14ac:dyDescent="0.25">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row>
    <row r="146" spans="23:53" x14ac:dyDescent="0.25">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row>
    <row r="147" spans="23:53" x14ac:dyDescent="0.25">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row>
    <row r="148" spans="23:53" x14ac:dyDescent="0.25">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row>
    <row r="149" spans="23:53" x14ac:dyDescent="0.25">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row>
    <row r="150" spans="23:53" x14ac:dyDescent="0.25">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row>
    <row r="151" spans="23:53" x14ac:dyDescent="0.25">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row>
    <row r="152" spans="23:53" x14ac:dyDescent="0.25">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row>
    <row r="153" spans="23:53" x14ac:dyDescent="0.25">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row>
    <row r="154" spans="23:53" x14ac:dyDescent="0.25">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row>
    <row r="155" spans="23:53" x14ac:dyDescent="0.25">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row>
    <row r="156" spans="23:53" x14ac:dyDescent="0.25">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row>
    <row r="157" spans="23:53" x14ac:dyDescent="0.25">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row>
    <row r="158" spans="23:53" x14ac:dyDescent="0.25">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row>
    <row r="159" spans="23:53" x14ac:dyDescent="0.25">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row>
    <row r="160" spans="23:53" x14ac:dyDescent="0.25">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row>
    <row r="161" spans="23:53" x14ac:dyDescent="0.25">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row>
    <row r="162" spans="23:53" x14ac:dyDescent="0.25">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row>
    <row r="163" spans="23:53" x14ac:dyDescent="0.25">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row>
    <row r="164" spans="23:53" x14ac:dyDescent="0.25">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row>
    <row r="165" spans="23:53" x14ac:dyDescent="0.25">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row>
    <row r="166" spans="23:53" x14ac:dyDescent="0.25">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row>
    <row r="167" spans="23:53" x14ac:dyDescent="0.25">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row>
    <row r="168" spans="23:53" x14ac:dyDescent="0.25">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row>
    <row r="169" spans="23:53" x14ac:dyDescent="0.25">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row>
    <row r="170" spans="23:53" x14ac:dyDescent="0.25">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row>
    <row r="171" spans="23:53" x14ac:dyDescent="0.25">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row>
    <row r="172" spans="23:53" x14ac:dyDescent="0.25">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row>
    <row r="173" spans="23:53" x14ac:dyDescent="0.25">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row>
    <row r="174" spans="23:53" x14ac:dyDescent="0.25">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row>
    <row r="175" spans="23:53" x14ac:dyDescent="0.25">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row>
    <row r="176" spans="23:53" x14ac:dyDescent="0.25">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row>
    <row r="177" spans="23:53" x14ac:dyDescent="0.25">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row>
    <row r="178" spans="23:53" x14ac:dyDescent="0.25">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row>
    <row r="179" spans="23:53" x14ac:dyDescent="0.25">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row>
    <row r="180" spans="23:53" x14ac:dyDescent="0.25">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row>
    <row r="181" spans="23:53" x14ac:dyDescent="0.25">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row>
    <row r="182" spans="23:53" x14ac:dyDescent="0.25">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row>
    <row r="183" spans="23:53" x14ac:dyDescent="0.25">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row>
    <row r="184" spans="23:53" x14ac:dyDescent="0.25">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row>
    <row r="185" spans="23:53" x14ac:dyDescent="0.25">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row>
    <row r="186" spans="23:53" x14ac:dyDescent="0.25">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row>
    <row r="187" spans="23:53" x14ac:dyDescent="0.25">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row>
    <row r="188" spans="23:53" x14ac:dyDescent="0.25">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row>
    <row r="189" spans="23:53" x14ac:dyDescent="0.25">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row>
    <row r="190" spans="23:53" x14ac:dyDescent="0.25">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row>
    <row r="191" spans="23:53" x14ac:dyDescent="0.25">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row>
    <row r="192" spans="23:53" x14ac:dyDescent="0.25">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row>
    <row r="193" spans="23:53" x14ac:dyDescent="0.25">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row>
    <row r="194" spans="23:53" x14ac:dyDescent="0.25">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row>
    <row r="195" spans="23:53" x14ac:dyDescent="0.25">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row>
    <row r="196" spans="23:53" x14ac:dyDescent="0.25">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row>
    <row r="197" spans="23:53" x14ac:dyDescent="0.25">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row>
    <row r="198" spans="23:53" x14ac:dyDescent="0.25">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row>
    <row r="199" spans="23:53" x14ac:dyDescent="0.25">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row>
    <row r="200" spans="23:53" x14ac:dyDescent="0.25">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row>
    <row r="201" spans="23:53" x14ac:dyDescent="0.25">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row>
    <row r="202" spans="23:53" x14ac:dyDescent="0.25">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row>
    <row r="203" spans="23:53" x14ac:dyDescent="0.25">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row>
    <row r="204" spans="23:53" x14ac:dyDescent="0.25">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row>
    <row r="205" spans="23:53" x14ac:dyDescent="0.25">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row>
    <row r="206" spans="23:53" x14ac:dyDescent="0.25">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row>
    <row r="207" spans="23:53" x14ac:dyDescent="0.25">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row>
    <row r="208" spans="23:53" x14ac:dyDescent="0.25">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row>
    <row r="209" spans="23:53" x14ac:dyDescent="0.25">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row>
    <row r="210" spans="23:53" x14ac:dyDescent="0.25">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row>
    <row r="211" spans="23:53" x14ac:dyDescent="0.25">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row>
    <row r="212" spans="23:53" x14ac:dyDescent="0.25">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row>
    <row r="213" spans="23:53" x14ac:dyDescent="0.25">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row>
    <row r="214" spans="23:53" x14ac:dyDescent="0.25">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row>
    <row r="215" spans="23:53" x14ac:dyDescent="0.25">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row>
    <row r="216" spans="23:53" x14ac:dyDescent="0.25">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spans="23:53" x14ac:dyDescent="0.25">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row>
    <row r="218" spans="23:53" x14ac:dyDescent="0.25">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row>
    <row r="219" spans="23:53" x14ac:dyDescent="0.25">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row>
    <row r="220" spans="23:53" x14ac:dyDescent="0.25">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row>
    <row r="221" spans="23:53" x14ac:dyDescent="0.25">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row>
    <row r="222" spans="23:53" x14ac:dyDescent="0.25">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row>
    <row r="223" spans="23:53" x14ac:dyDescent="0.25">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row>
    <row r="224" spans="23:53" x14ac:dyDescent="0.25">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row>
    <row r="225" spans="23:53" x14ac:dyDescent="0.25">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row>
    <row r="226" spans="23:53" x14ac:dyDescent="0.25">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row>
    <row r="227" spans="23:53" x14ac:dyDescent="0.25">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row>
    <row r="228" spans="23:53" x14ac:dyDescent="0.25">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row>
    <row r="229" spans="23:53" x14ac:dyDescent="0.25">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spans="23:53" x14ac:dyDescent="0.25">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row>
    <row r="231" spans="23:53" x14ac:dyDescent="0.25">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row>
    <row r="232" spans="23:53" x14ac:dyDescent="0.25">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row>
    <row r="233" spans="23:53" x14ac:dyDescent="0.25">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row>
    <row r="234" spans="23:53" x14ac:dyDescent="0.25">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row>
    <row r="235" spans="23:53" x14ac:dyDescent="0.25">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row>
    <row r="236" spans="23:53" x14ac:dyDescent="0.25">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row>
    <row r="237" spans="23:53" x14ac:dyDescent="0.25">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row>
    <row r="238" spans="23:53" x14ac:dyDescent="0.25">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row>
    <row r="239" spans="23:53" x14ac:dyDescent="0.25">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row>
    <row r="240" spans="23:53" x14ac:dyDescent="0.25">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row>
    <row r="241" spans="23:53" x14ac:dyDescent="0.25">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row>
    <row r="242" spans="23:53" x14ac:dyDescent="0.25">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row>
    <row r="243" spans="23:53" x14ac:dyDescent="0.25">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row>
    <row r="244" spans="23:53" x14ac:dyDescent="0.25">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row>
    <row r="245" spans="23:53" x14ac:dyDescent="0.25">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row>
    <row r="246" spans="23:53" x14ac:dyDescent="0.25">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row>
    <row r="247" spans="23:53" x14ac:dyDescent="0.25">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row>
    <row r="248" spans="23:53" x14ac:dyDescent="0.25">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row>
    <row r="249" spans="23:53" x14ac:dyDescent="0.25">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row>
    <row r="250" spans="23:53" x14ac:dyDescent="0.25">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row>
    <row r="251" spans="23:53" x14ac:dyDescent="0.25">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row>
    <row r="252" spans="23:53" x14ac:dyDescent="0.25">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row>
    <row r="253" spans="23:53" x14ac:dyDescent="0.25">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row>
    <row r="254" spans="23:53" x14ac:dyDescent="0.25">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row>
    <row r="255" spans="23:53" x14ac:dyDescent="0.25">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row>
    <row r="256" spans="23:53" x14ac:dyDescent="0.25">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row>
    <row r="257" spans="23:53" x14ac:dyDescent="0.25">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row>
    <row r="258" spans="23:53" x14ac:dyDescent="0.25">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row>
    <row r="259" spans="23:53" x14ac:dyDescent="0.25">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row>
    <row r="260" spans="23:53" x14ac:dyDescent="0.25">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row>
    <row r="261" spans="23:53" x14ac:dyDescent="0.25">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row>
    <row r="262" spans="23:53" x14ac:dyDescent="0.25">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row>
    <row r="263" spans="23:53" x14ac:dyDescent="0.25">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row>
    <row r="264" spans="23:53" x14ac:dyDescent="0.25">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row>
    <row r="265" spans="23:53" x14ac:dyDescent="0.25">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row>
    <row r="266" spans="23:53" x14ac:dyDescent="0.25">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row>
    <row r="267" spans="23:53" x14ac:dyDescent="0.25">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row>
    <row r="268" spans="23:53" x14ac:dyDescent="0.25">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row>
    <row r="269" spans="23:53" x14ac:dyDescent="0.25">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row>
    <row r="270" spans="23:53" x14ac:dyDescent="0.25">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row>
    <row r="271" spans="23:53" x14ac:dyDescent="0.25">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row>
    <row r="272" spans="23:53" x14ac:dyDescent="0.25">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row>
    <row r="273" spans="23:53" x14ac:dyDescent="0.25">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row>
    <row r="274" spans="23:53" x14ac:dyDescent="0.25">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row>
    <row r="275" spans="23:53" x14ac:dyDescent="0.25">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row>
    <row r="276" spans="23:53" x14ac:dyDescent="0.25">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row>
    <row r="277" spans="23:53" x14ac:dyDescent="0.25">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row>
    <row r="278" spans="23:53" x14ac:dyDescent="0.25">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row>
    <row r="279" spans="23:53" x14ac:dyDescent="0.25">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row>
    <row r="280" spans="23:53" x14ac:dyDescent="0.25">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row>
    <row r="281" spans="23:53" x14ac:dyDescent="0.25">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spans="23:53" x14ac:dyDescent="0.25">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row>
    <row r="283" spans="23:53" x14ac:dyDescent="0.25">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row>
    <row r="284" spans="23:53" x14ac:dyDescent="0.25">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row>
    <row r="285" spans="23:53" x14ac:dyDescent="0.25">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row>
    <row r="286" spans="23:53" x14ac:dyDescent="0.25">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row>
    <row r="287" spans="23:53" x14ac:dyDescent="0.25">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row>
    <row r="288" spans="23:53" x14ac:dyDescent="0.25">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row>
    <row r="289" spans="23:53" x14ac:dyDescent="0.25">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row>
    <row r="290" spans="23:53" x14ac:dyDescent="0.25">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row>
    <row r="291" spans="23:53" x14ac:dyDescent="0.25">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row>
    <row r="292" spans="23:53" x14ac:dyDescent="0.25">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row>
    <row r="293" spans="23:53" x14ac:dyDescent="0.25">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row>
    <row r="294" spans="23:53" x14ac:dyDescent="0.25">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row>
    <row r="295" spans="23:53" x14ac:dyDescent="0.25">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row>
    <row r="296" spans="23:53" x14ac:dyDescent="0.25">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row>
    <row r="297" spans="23:53" x14ac:dyDescent="0.25">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row>
    <row r="298" spans="23:53" x14ac:dyDescent="0.25">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row>
    <row r="299" spans="23:53" x14ac:dyDescent="0.25">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row>
    <row r="300" spans="23:53" x14ac:dyDescent="0.25">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row>
    <row r="301" spans="23:53" x14ac:dyDescent="0.25">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row>
    <row r="302" spans="23:53" x14ac:dyDescent="0.25">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row>
    <row r="303" spans="23:53" x14ac:dyDescent="0.25">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row>
    <row r="304" spans="23:53" x14ac:dyDescent="0.25">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row>
    <row r="305" spans="23:53" x14ac:dyDescent="0.25">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row>
    <row r="306" spans="23:53" x14ac:dyDescent="0.25">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row>
    <row r="307" spans="23:53" x14ac:dyDescent="0.25">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row>
    <row r="308" spans="23:53" x14ac:dyDescent="0.25">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row>
    <row r="309" spans="23:53" x14ac:dyDescent="0.25">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row>
    <row r="310" spans="23:53" x14ac:dyDescent="0.25">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row>
    <row r="311" spans="23:53" x14ac:dyDescent="0.25">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row>
    <row r="312" spans="23:53" x14ac:dyDescent="0.25">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row>
    <row r="313" spans="23:53" x14ac:dyDescent="0.25">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row>
    <row r="314" spans="23:53" x14ac:dyDescent="0.25">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row>
    <row r="315" spans="23:53" x14ac:dyDescent="0.25">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row>
    <row r="316" spans="23:53" x14ac:dyDescent="0.25">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row>
    <row r="317" spans="23:53" x14ac:dyDescent="0.25">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row>
    <row r="318" spans="23:53" x14ac:dyDescent="0.25">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row>
    <row r="319" spans="23:53" x14ac:dyDescent="0.25">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row>
    <row r="320" spans="23:53" x14ac:dyDescent="0.25">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row>
    <row r="321" spans="23:53" x14ac:dyDescent="0.25">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row>
    <row r="322" spans="23:53" x14ac:dyDescent="0.25">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row>
    <row r="323" spans="23:53" x14ac:dyDescent="0.25">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row>
    <row r="324" spans="23:53" x14ac:dyDescent="0.25">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row>
    <row r="325" spans="23:53" x14ac:dyDescent="0.25">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row>
    <row r="326" spans="23:53" x14ac:dyDescent="0.25">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row>
    <row r="327" spans="23:53" x14ac:dyDescent="0.25">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row>
    <row r="328" spans="23:53" x14ac:dyDescent="0.25">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row>
    <row r="329" spans="23:53" x14ac:dyDescent="0.25">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row>
    <row r="330" spans="23:53" x14ac:dyDescent="0.25">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row>
    <row r="331" spans="23:53" x14ac:dyDescent="0.25">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row>
    <row r="332" spans="23:53" x14ac:dyDescent="0.25">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row>
    <row r="333" spans="23:53" x14ac:dyDescent="0.25">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row>
    <row r="334" spans="23:53" x14ac:dyDescent="0.25">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row>
    <row r="335" spans="23:53" x14ac:dyDescent="0.25">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row>
    <row r="336" spans="23:53" x14ac:dyDescent="0.25">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row>
    <row r="337" spans="23:53" x14ac:dyDescent="0.25">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row>
    <row r="338" spans="23:53" x14ac:dyDescent="0.25">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row>
    <row r="339" spans="23:53" x14ac:dyDescent="0.25">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row>
    <row r="340" spans="23:53" x14ac:dyDescent="0.25">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row>
    <row r="341" spans="23:53" x14ac:dyDescent="0.25">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row>
    <row r="342" spans="23:53" x14ac:dyDescent="0.25">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row>
    <row r="343" spans="23:53" x14ac:dyDescent="0.25">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row>
    <row r="344" spans="23:53" x14ac:dyDescent="0.25">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row>
    <row r="345" spans="23:53" x14ac:dyDescent="0.25">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row>
    <row r="346" spans="23:53" x14ac:dyDescent="0.25">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row>
    <row r="347" spans="23:53" x14ac:dyDescent="0.25">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row>
    <row r="348" spans="23:53" x14ac:dyDescent="0.25">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row>
    <row r="349" spans="23:53" x14ac:dyDescent="0.25">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row>
    <row r="350" spans="23:53" x14ac:dyDescent="0.25">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row>
    <row r="351" spans="23:53" x14ac:dyDescent="0.25">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row>
    <row r="352" spans="23:53" x14ac:dyDescent="0.25">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row>
    <row r="353" spans="23:53" x14ac:dyDescent="0.25">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row>
    <row r="354" spans="23:53" x14ac:dyDescent="0.25">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row>
    <row r="355" spans="23:53" x14ac:dyDescent="0.25">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row>
    <row r="356" spans="23:53" x14ac:dyDescent="0.25">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row>
    <row r="357" spans="23:53" x14ac:dyDescent="0.25">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row>
    <row r="358" spans="23:53" x14ac:dyDescent="0.25">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row>
    <row r="359" spans="23:53" x14ac:dyDescent="0.25">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row>
    <row r="360" spans="23:53" x14ac:dyDescent="0.25">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row>
    <row r="361" spans="23:53" x14ac:dyDescent="0.25">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row>
    <row r="362" spans="23:53" x14ac:dyDescent="0.25">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row>
    <row r="363" spans="23:53" x14ac:dyDescent="0.25">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row>
    <row r="364" spans="23:53" x14ac:dyDescent="0.25">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row>
    <row r="365" spans="23:53" x14ac:dyDescent="0.25">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row>
    <row r="366" spans="23:53" x14ac:dyDescent="0.25">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row>
    <row r="367" spans="23:53" x14ac:dyDescent="0.25">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row>
    <row r="368" spans="23:53" x14ac:dyDescent="0.25">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row>
    <row r="369" spans="23:53" x14ac:dyDescent="0.25">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row>
    <row r="370" spans="23:53" x14ac:dyDescent="0.25">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row>
    <row r="371" spans="23:53" x14ac:dyDescent="0.25">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row>
  </sheetData>
  <mergeCells count="2">
    <mergeCell ref="A1:V1"/>
    <mergeCell ref="A2:V2"/>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32BA-8535-42B3-A725-54DD397AC0C9}">
  <sheetPr>
    <pageSetUpPr fitToPage="1"/>
  </sheetPr>
  <dimension ref="A1:L19"/>
  <sheetViews>
    <sheetView workbookViewId="0">
      <selection activeCell="N1" sqref="N1"/>
    </sheetView>
  </sheetViews>
  <sheetFormatPr defaultRowHeight="14" x14ac:dyDescent="0.25"/>
  <cols>
    <col min="1" max="1" width="27.453125" customWidth="1"/>
    <col min="2" max="3" width="14.1796875" style="14" customWidth="1"/>
    <col min="4" max="4" width="16.90625" style="14" customWidth="1"/>
    <col min="5" max="10" width="14.1796875" style="14" customWidth="1"/>
    <col min="11" max="11" width="18.6328125" style="14" customWidth="1"/>
  </cols>
  <sheetData>
    <row r="1" spans="1:12" ht="226" customHeight="1" x14ac:dyDescent="0.25">
      <c r="A1" s="37" t="s">
        <v>185</v>
      </c>
      <c r="B1" s="38"/>
      <c r="C1" s="38"/>
      <c r="D1" s="38"/>
      <c r="E1" s="38"/>
      <c r="F1" s="38"/>
      <c r="G1" s="38"/>
      <c r="H1" s="38"/>
      <c r="I1" s="38"/>
      <c r="J1" s="38"/>
      <c r="K1" s="38"/>
      <c r="L1" s="38"/>
    </row>
    <row r="2" spans="1:12" ht="28" customHeight="1" x14ac:dyDescent="0.25">
      <c r="A2" s="39" t="s">
        <v>69</v>
      </c>
      <c r="B2" s="39"/>
      <c r="C2" s="39"/>
      <c r="D2" s="39"/>
      <c r="E2" s="39"/>
      <c r="F2" s="39"/>
      <c r="G2" s="39"/>
      <c r="H2" s="39"/>
      <c r="I2" s="39"/>
      <c r="J2" s="39"/>
      <c r="K2" s="39"/>
      <c r="L2" s="39"/>
    </row>
    <row r="3" spans="1:12" ht="44" customHeight="1" x14ac:dyDescent="0.25">
      <c r="A3" s="4" t="s">
        <v>188</v>
      </c>
      <c r="B3" s="4" t="s">
        <v>84</v>
      </c>
      <c r="C3" s="4" t="s">
        <v>70</v>
      </c>
      <c r="D3" s="4" t="s">
        <v>71</v>
      </c>
      <c r="E3" s="4" t="s">
        <v>72</v>
      </c>
      <c r="F3" s="4" t="s">
        <v>73</v>
      </c>
      <c r="G3" s="4" t="s">
        <v>74</v>
      </c>
      <c r="H3" s="4" t="s">
        <v>75</v>
      </c>
      <c r="I3" s="4" t="s">
        <v>76</v>
      </c>
      <c r="J3" s="4" t="s">
        <v>77</v>
      </c>
      <c r="K3" s="4" t="s">
        <v>78</v>
      </c>
      <c r="L3" s="4" t="s">
        <v>79</v>
      </c>
    </row>
    <row r="4" spans="1:12" ht="14" customHeight="1" x14ac:dyDescent="0.25">
      <c r="A4" s="34" t="s">
        <v>56</v>
      </c>
      <c r="B4" s="10" t="s">
        <v>19</v>
      </c>
      <c r="C4" s="10">
        <v>5</v>
      </c>
      <c r="D4" s="16">
        <f>COUNTIF('Basic Objective Test'!T4:T8,"PASS")/ROWS('Basic Objective Test'!T4:T8)</f>
        <v>1</v>
      </c>
      <c r="E4" s="10" cm="1">
        <f t="array" ref="E4">AVERAGE(VALUE(SUBSTITUTE(INDEX('Basic Objective Test'!P:P,4+(ROW(A1)-1)*5):INDEX('Basic Objective Test'!P:P,8+(ROW(A1)-1)*5),"s","")))</f>
        <v>15.460000000000003</v>
      </c>
      <c r="F4" s="33" cm="1">
        <f t="array" ref="F4">_xlfn.STDEV.S(VALUE(SUBSTITUTE(INDEX('Basic Objective Test'!P:P,4+(ROW(A1)-1)*5):INDEX('Basic Objective Test'!P:P,8+(ROW(A1)-1)*5),"s","")))</f>
        <v>4.9990949180826663</v>
      </c>
      <c r="G4" s="10" t="str" cm="1">
        <f t="array" ref="G4">"±"&amp;TEXT(_xlfn.CONFIDENCE.T(0.05,_xlfn.STDEV.S(VALUE(SUBSTITUTE(INDEX('Basic Objective Test'!P:P,4+(ROW(A1)-1)*5):INDEX('Basic Objective Test'!P:P,8+(ROW(A1)-1)*5),"s",""))),5),"0.00")&amp;"s"</f>
        <v>±6.21s</v>
      </c>
      <c r="H4" s="10">
        <f>AVERAGE(INDEX('Basic Objective Test'!L:L,4+(ROW(A1)-1)*5):INDEX('Basic Objective Test'!L:L,8+(ROW(A1)-1)*5))</f>
        <v>3771.6</v>
      </c>
      <c r="I4" s="10">
        <f>AVERAGE(INDEX('Basic Objective Test'!M:M,4+(ROW(A1)-1)*5):INDEX('Basic Objective Test'!M:M,8+(ROW(A1)-1)*5))</f>
        <v>586.6</v>
      </c>
      <c r="J4" s="10">
        <f>AVERAGE(INDEX('Basic Objective Test'!N:N,4+(ROW(A1)-1)*5):INDEX('Basic Objective Test'!N:N,8+(ROW(A1)-1)*5))</f>
        <v>60.8</v>
      </c>
      <c r="K4" s="10">
        <f>AVERAGE(INDEX('Basic Objective Test'!O:O,4+(ROW(A1)-1)*5):INDEX('Basic Objective Test'!O:O,8+(ROW(A1)-1)*5))</f>
        <v>11517</v>
      </c>
      <c r="L4" s="10">
        <f>AVERAGE(INDEX('Basic Objective Test'!Q:Q,4+(ROW(A1)-1)*5):INDEX('Basic Objective Test'!Q:Q,8+(ROW(A1)-1)*5))</f>
        <v>0.3</v>
      </c>
    </row>
    <row r="5" spans="1:12" ht="14" customHeight="1" x14ac:dyDescent="0.25">
      <c r="A5" s="35"/>
      <c r="B5" s="10" t="s">
        <v>27</v>
      </c>
      <c r="C5" s="10">
        <v>5</v>
      </c>
      <c r="D5" s="16">
        <f>COUNTIF('Basic Objective Test'!T9:T13,"PASS")/ROWS('Basic Objective Test'!T9:T13)</f>
        <v>1</v>
      </c>
      <c r="E5" s="10" cm="1">
        <f t="array" ref="E5">AVERAGE(VALUE(SUBSTITUTE(INDEX('Basic Objective Test'!P:P,4+(ROW(A2)-1)*5):INDEX('Basic Objective Test'!P:P,8+(ROW(A2)-1)*5),"s","")))</f>
        <v>21.166000000000004</v>
      </c>
      <c r="F5" s="33" cm="1">
        <f t="array" ref="F5">_xlfn.STDEV.S(VALUE(SUBSTITUTE(INDEX('Basic Objective Test'!P:P,4+(ROW(A2)-1)*5):INDEX('Basic Objective Test'!P:P,8+(ROW(A2)-1)*5),"s","")))</f>
        <v>0.75048650887274526</v>
      </c>
      <c r="G5" s="10" t="str" cm="1">
        <f t="array" ref="G5">"±"&amp;TEXT(_xlfn.CONFIDENCE.T(0.05,_xlfn.STDEV.S(VALUE(SUBSTITUTE(INDEX('Basic Objective Test'!P:P,4+(ROW(A2)-1)*5):INDEX('Basic Objective Test'!P:P,8+(ROW(A2)-1)*5),"s",""))),5),"0.00")&amp;"s"</f>
        <v>±0.93s</v>
      </c>
      <c r="H5" s="10">
        <f>AVERAGE(INDEX('Basic Objective Test'!L:L,4+(ROW(A2)-1)*5):INDEX('Basic Objective Test'!L:L,8+(ROW(A2)-1)*5))</f>
        <v>1922</v>
      </c>
      <c r="I5" s="10">
        <f>AVERAGE(INDEX('Basic Objective Test'!M:M,4+(ROW(A2)-1)*5):INDEX('Basic Objective Test'!M:M,8+(ROW(A2)-1)*5))</f>
        <v>365.6</v>
      </c>
      <c r="J5" s="10">
        <f>AVERAGE(INDEX('Basic Objective Test'!N:N,4+(ROW(A2)-1)*5):INDEX('Basic Objective Test'!N:N,8+(ROW(A2)-1)*5))</f>
        <v>56.2</v>
      </c>
      <c r="K5" s="10">
        <f>AVERAGE(INDEX('Basic Objective Test'!O:O,4+(ROW(A2)-1)*5):INDEX('Basic Objective Test'!O:O,8+(ROW(A2)-1)*5))</f>
        <v>18881.8</v>
      </c>
      <c r="L5" s="10">
        <f>AVERAGE(INDEX('Basic Objective Test'!Q:Q,4+(ROW(A2)-1)*5):INDEX('Basic Objective Test'!Q:Q,8+(ROW(A2)-1)*5))</f>
        <v>0.22320000000000001</v>
      </c>
    </row>
    <row r="6" spans="1:12" ht="14" customHeight="1" x14ac:dyDescent="0.25">
      <c r="A6" s="35"/>
      <c r="B6" s="10" t="s">
        <v>25</v>
      </c>
      <c r="C6" s="10">
        <v>5</v>
      </c>
      <c r="D6" s="16">
        <f>COUNTIF('Basic Objective Test'!T14:T18,"PASS")/ROWS('Basic Objective Test'!T14:T18)</f>
        <v>1</v>
      </c>
      <c r="E6" s="10" cm="1">
        <f t="array" ref="E6">AVERAGE(VALUE(SUBSTITUTE(INDEX('Basic Objective Test'!P:P,4+(ROW(A3)-1)*5):INDEX('Basic Objective Test'!P:P,8+(ROW(A3)-1)*5),"s","")))</f>
        <v>23.175999999999998</v>
      </c>
      <c r="F6" s="33" cm="1">
        <f t="array" ref="F6">_xlfn.STDEV.S(VALUE(SUBSTITUTE(INDEX('Basic Objective Test'!P:P,4+(ROW(A3)-1)*5):INDEX('Basic Objective Test'!P:P,8+(ROW(A3)-1)*5),"s","")))</f>
        <v>0.98784108033630713</v>
      </c>
      <c r="G6" s="10" t="str" cm="1">
        <f t="array" ref="G6">"±"&amp;TEXT(_xlfn.CONFIDENCE.T(0.05,_xlfn.STDEV.S(VALUE(SUBSTITUTE(INDEX('Basic Objective Test'!P:P,4+(ROW(A3)-1)*5):INDEX('Basic Objective Test'!P:P,8+(ROW(A3)-1)*5),"s",""))),5),"0.00")&amp;"s"</f>
        <v>±1.23s</v>
      </c>
      <c r="H6" s="10">
        <f>AVERAGE(INDEX('Basic Objective Test'!L:L,4+(ROW(A3)-1)*5):INDEX('Basic Objective Test'!L:L,8+(ROW(A3)-1)*5))</f>
        <v>1806.4</v>
      </c>
      <c r="I6" s="10">
        <f>AVERAGE(INDEX('Basic Objective Test'!M:M,4+(ROW(A3)-1)*5):INDEX('Basic Objective Test'!M:M,8+(ROW(A3)-1)*5))</f>
        <v>379</v>
      </c>
      <c r="J6" s="10">
        <f>AVERAGE(INDEX('Basic Objective Test'!N:N,4+(ROW(A3)-1)*5):INDEX('Basic Objective Test'!N:N,8+(ROW(A3)-1)*5))</f>
        <v>60.6</v>
      </c>
      <c r="K6" s="10">
        <f>AVERAGE(INDEX('Basic Objective Test'!O:O,4+(ROW(A3)-1)*5):INDEX('Basic Objective Test'!O:O,8+(ROW(A3)-1)*5))</f>
        <v>20955</v>
      </c>
      <c r="L6" s="10">
        <f>AVERAGE(INDEX('Basic Objective Test'!Q:Q,4+(ROW(A3)-1)*5):INDEX('Basic Objective Test'!Q:Q,8+(ROW(A3)-1)*5))</f>
        <v>0.36599999999999999</v>
      </c>
    </row>
    <row r="7" spans="1:12" ht="14" customHeight="1" x14ac:dyDescent="0.25">
      <c r="A7" s="35"/>
      <c r="B7" s="10" t="s">
        <v>28</v>
      </c>
      <c r="C7" s="10">
        <v>5</v>
      </c>
      <c r="D7" s="16">
        <f>COUNTIF('Basic Objective Test'!T19:T23,"PASS")/ROWS('Basic Objective Test'!T19:T23)</f>
        <v>1</v>
      </c>
      <c r="E7" s="10" cm="1">
        <f t="array" ref="E7">AVERAGE(VALUE(SUBSTITUTE(INDEX('Basic Objective Test'!P:P,4+(ROW(A4)-1)*5):INDEX('Basic Objective Test'!P:P,8+(ROW(A4)-1)*5),"s","")))</f>
        <v>18.113999999999997</v>
      </c>
      <c r="F7" s="33" cm="1">
        <f t="array" ref="F7">_xlfn.STDEV.S(VALUE(SUBSTITUTE(INDEX('Basic Objective Test'!P:P,4+(ROW(A4)-1)*5):INDEX('Basic Objective Test'!P:P,8+(ROW(A4)-1)*5),"s","")))</f>
        <v>1.0143372220321998</v>
      </c>
      <c r="G7" s="10" t="str" cm="1">
        <f t="array" ref="G7">"±"&amp;TEXT(_xlfn.CONFIDENCE.T(0.05,_xlfn.STDEV.S(VALUE(SUBSTITUTE(INDEX('Basic Objective Test'!P:P,4+(ROW(A4)-1)*5):INDEX('Basic Objective Test'!P:P,8+(ROW(A4)-1)*5),"s",""))),5),"0.00")&amp;"s"</f>
        <v>±1.26s</v>
      </c>
      <c r="H7" s="10">
        <f>AVERAGE(INDEX('Basic Objective Test'!L:L,4+(ROW(A4)-1)*5):INDEX('Basic Objective Test'!L:L,8+(ROW(A4)-1)*5))</f>
        <v>1974.6</v>
      </c>
      <c r="I7" s="10">
        <f>AVERAGE(INDEX('Basic Objective Test'!M:M,4+(ROW(A4)-1)*5):INDEX('Basic Objective Test'!M:M,8+(ROW(A4)-1)*5))</f>
        <v>460.2</v>
      </c>
      <c r="J7" s="10">
        <f>AVERAGE(INDEX('Basic Objective Test'!N:N,4+(ROW(A4)-1)*5):INDEX('Basic Objective Test'!N:N,8+(ROW(A4)-1)*5))</f>
        <v>61.6</v>
      </c>
      <c r="K7" s="10">
        <f>AVERAGE(INDEX('Basic Objective Test'!O:O,4+(ROW(A4)-1)*5):INDEX('Basic Objective Test'!O:O,8+(ROW(A4)-1)*5))</f>
        <v>15729.8</v>
      </c>
      <c r="L7" s="10">
        <f>AVERAGE(INDEX('Basic Objective Test'!Q:Q,4+(ROW(A4)-1)*5):INDEX('Basic Objective Test'!Q:Q,8+(ROW(A4)-1)*5))</f>
        <v>0.51</v>
      </c>
    </row>
    <row r="8" spans="1:12" ht="14" customHeight="1" x14ac:dyDescent="0.25">
      <c r="A8" s="36"/>
      <c r="B8" s="10" t="s">
        <v>118</v>
      </c>
      <c r="C8" s="10">
        <v>5</v>
      </c>
      <c r="D8" s="16">
        <f>COUNTIF('Basic Objective Test'!T24:T28,"PASS")/ROWS('Basic Objective Test'!T24:T28)</f>
        <v>1</v>
      </c>
      <c r="E8" s="10" cm="1">
        <f t="array" ref="E8">AVERAGE(VALUE(SUBSTITUTE(INDEX('Basic Objective Test'!P:P,4+(ROW(A5)-1)*5):INDEX('Basic Objective Test'!P:P,8+(ROW(A5)-1)*5),"s","")))</f>
        <v>15.547999999999998</v>
      </c>
      <c r="F8" s="33" cm="1">
        <f t="array" ref="F8">_xlfn.STDEV.S(VALUE(SUBSTITUTE(INDEX('Basic Objective Test'!P:P,4+(ROW(A5)-1)*5):INDEX('Basic Objective Test'!P:P,8+(ROW(A5)-1)*5),"s","")))</f>
        <v>1.1559714529347167</v>
      </c>
      <c r="G8" s="10" t="str" cm="1">
        <f t="array" ref="G8">"±"&amp;TEXT(_xlfn.CONFIDENCE.T(0.05,_xlfn.STDEV.S(VALUE(SUBSTITUTE(INDEX('Basic Objective Test'!P:P,4+(ROW(A5)-1)*5):INDEX('Basic Objective Test'!P:P,8+(ROW(A5)-1)*5),"s",""))),5),"0.00")&amp;"s"</f>
        <v>±1.44s</v>
      </c>
      <c r="H8" s="10">
        <f>AVERAGE(INDEX('Basic Objective Test'!L:L,4+(ROW(A5)-1)*5):INDEX('Basic Objective Test'!L:L,8+(ROW(A5)-1)*5))</f>
        <v>1789.6</v>
      </c>
      <c r="I8" s="10">
        <f>AVERAGE(INDEX('Basic Objective Test'!M:M,4+(ROW(A5)-1)*5):INDEX('Basic Objective Test'!M:M,8+(ROW(A5)-1)*5))</f>
        <v>371.4</v>
      </c>
      <c r="J8" s="10">
        <f>AVERAGE(INDEX('Basic Objective Test'!N:N,4+(ROW(A5)-1)*5):INDEX('Basic Objective Test'!N:N,8+(ROW(A5)-1)*5))</f>
        <v>57</v>
      </c>
      <c r="K8" s="10">
        <f>AVERAGE(INDEX('Basic Objective Test'!O:O,4+(ROW(A5)-1)*5):INDEX('Basic Objective Test'!O:O,8+(ROW(A5)-1)*5))</f>
        <v>13191</v>
      </c>
      <c r="L8" s="10">
        <f>AVERAGE(INDEX('Basic Objective Test'!Q:Q,4+(ROW(A5)-1)*5):INDEX('Basic Objective Test'!Q:Q,8+(ROW(A5)-1)*5))</f>
        <v>0.39400000000000002</v>
      </c>
    </row>
    <row r="9" spans="1:12" ht="14" customHeight="1" x14ac:dyDescent="0.25">
      <c r="A9" s="34" t="s">
        <v>88</v>
      </c>
      <c r="B9" s="10" t="s">
        <v>19</v>
      </c>
      <c r="C9" s="10">
        <v>5</v>
      </c>
      <c r="D9" s="16">
        <f>COUNTIF('Basic Objective Test'!T29:T33,"PASS")/ROWS('Basic Objective Test'!T29:T33)</f>
        <v>1</v>
      </c>
      <c r="E9" s="10" cm="1">
        <f t="array" ref="E9">AVERAGE(VALUE(SUBSTITUTE(INDEX('Basic Objective Test'!P:P,4+(ROW(A6)-1)*5):INDEX('Basic Objective Test'!P:P,8+(ROW(A6)-1)*5),"s","")))</f>
        <v>14.475999999999999</v>
      </c>
      <c r="F9" s="33" cm="1">
        <f t="array" ref="F9">_xlfn.STDEV.S(VALUE(SUBSTITUTE(INDEX('Basic Objective Test'!P:P,4+(ROW(A6)-1)*5):INDEX('Basic Objective Test'!P:P,8+(ROW(A6)-1)*5),"s","")))</f>
        <v>0.92818640369270666</v>
      </c>
      <c r="G9" s="10" t="str" cm="1">
        <f t="array" ref="G9">"±"&amp;TEXT(_xlfn.CONFIDENCE.T(0.05,_xlfn.STDEV.S(VALUE(SUBSTITUTE(INDEX('Basic Objective Test'!P:P,4+(ROW(A6)-1)*5):INDEX('Basic Objective Test'!P:P,8+(ROW(A6)-1)*5),"s",""))),5),"0.00")&amp;"s"</f>
        <v>±1.15s</v>
      </c>
      <c r="H9" s="10">
        <f>AVERAGE(INDEX('Basic Objective Test'!L:L,4+(ROW(A6)-1)*5):INDEX('Basic Objective Test'!L:L,8+(ROW(A6)-1)*5))</f>
        <v>1781.2</v>
      </c>
      <c r="I9" s="10">
        <f>AVERAGE(INDEX('Basic Objective Test'!M:M,4+(ROW(A6)-1)*5):INDEX('Basic Objective Test'!M:M,8+(ROW(A6)-1)*5))</f>
        <v>374.2</v>
      </c>
      <c r="J9" s="10">
        <f>AVERAGE(INDEX('Basic Objective Test'!N:N,4+(ROW(A6)-1)*5):INDEX('Basic Objective Test'!N:N,8+(ROW(A6)-1)*5))</f>
        <v>58.6</v>
      </c>
      <c r="K9" s="10">
        <f>AVERAGE(INDEX('Basic Objective Test'!O:O,4+(ROW(A6)-1)*5):INDEX('Basic Objective Test'!O:O,8+(ROW(A6)-1)*5))</f>
        <v>12223</v>
      </c>
      <c r="L9" s="10">
        <f>AVERAGE(INDEX('Basic Objective Test'!Q:Q,4+(ROW(A6)-1)*5):INDEX('Basic Objective Test'!Q:Q,8+(ROW(A6)-1)*5))</f>
        <v>0.36819999999999997</v>
      </c>
    </row>
    <row r="10" spans="1:12" ht="14" customHeight="1" x14ac:dyDescent="0.25">
      <c r="A10" s="35"/>
      <c r="B10" s="10" t="s">
        <v>27</v>
      </c>
      <c r="C10" s="10">
        <v>5</v>
      </c>
      <c r="D10" s="16">
        <f>COUNTIF('Basic Objective Test'!T34:T38,"PASS")/ROWS('Basic Objective Test'!T34:T38)</f>
        <v>1</v>
      </c>
      <c r="E10" s="10" cm="1">
        <f t="array" ref="E10">AVERAGE(VALUE(SUBSTITUTE(INDEX('Basic Objective Test'!P:P,4+(ROW(A7)-1)*5):INDEX('Basic Objective Test'!P:P,8+(ROW(A7)-1)*5),"s","")))</f>
        <v>13.321999999999999</v>
      </c>
      <c r="F10" s="33" cm="1">
        <f t="array" ref="F10">_xlfn.STDEV.S(VALUE(SUBSTITUTE(INDEX('Basic Objective Test'!P:P,4+(ROW(A7)-1)*5):INDEX('Basic Objective Test'!P:P,8+(ROW(A7)-1)*5),"s","")))</f>
        <v>0.61690355810288555</v>
      </c>
      <c r="G10" s="10" t="str" cm="1">
        <f t="array" ref="G10">"±"&amp;TEXT(_xlfn.CONFIDENCE.T(0.05,_xlfn.STDEV.S(VALUE(SUBSTITUTE(INDEX('Basic Objective Test'!P:P,4+(ROW(A7)-1)*5):INDEX('Basic Objective Test'!P:P,8+(ROW(A7)-1)*5),"s",""))),5),"0.00")&amp;"s"</f>
        <v>±0.77s</v>
      </c>
      <c r="H10" s="10">
        <f>AVERAGE(INDEX('Basic Objective Test'!L:L,4+(ROW(A7)-1)*5):INDEX('Basic Objective Test'!L:L,8+(ROW(A7)-1)*5))</f>
        <v>1852.8</v>
      </c>
      <c r="I10" s="10">
        <f>AVERAGE(INDEX('Basic Objective Test'!M:M,4+(ROW(A7)-1)*5):INDEX('Basic Objective Test'!M:M,8+(ROW(A7)-1)*5))</f>
        <v>362</v>
      </c>
      <c r="J10" s="10">
        <f>AVERAGE(INDEX('Basic Objective Test'!N:N,4+(ROW(A7)-1)*5):INDEX('Basic Objective Test'!N:N,8+(ROW(A7)-1)*5))</f>
        <v>58.8</v>
      </c>
      <c r="K10" s="10">
        <f>AVERAGE(INDEX('Basic Objective Test'!O:O,4+(ROW(A7)-1)*5):INDEX('Basic Objective Test'!O:O,8+(ROW(A7)-1)*5))</f>
        <v>11128.8</v>
      </c>
      <c r="L10" s="10">
        <f>AVERAGE(INDEX('Basic Objective Test'!Q:Q,4+(ROW(A7)-1)*5):INDEX('Basic Objective Test'!Q:Q,8+(ROW(A7)-1)*5))</f>
        <v>0.32799999999999996</v>
      </c>
    </row>
    <row r="11" spans="1:12" ht="14" customHeight="1" x14ac:dyDescent="0.25">
      <c r="A11" s="35"/>
      <c r="B11" s="10" t="s">
        <v>25</v>
      </c>
      <c r="C11" s="10">
        <v>5</v>
      </c>
      <c r="D11" s="16">
        <f>COUNTIF('Basic Objective Test'!T39:T43,"PASS")/ROWS('Basic Objective Test'!T39:T43)</f>
        <v>1</v>
      </c>
      <c r="E11" s="10" cm="1">
        <f t="array" ref="E11">AVERAGE(VALUE(SUBSTITUTE(INDEX('Basic Objective Test'!P:P,4+(ROW(A8)-1)*5):INDEX('Basic Objective Test'!P:P,8+(ROW(A8)-1)*5),"s","")))</f>
        <v>19.907999999999998</v>
      </c>
      <c r="F11" s="33" cm="1">
        <f t="array" ref="F11">_xlfn.STDEV.S(VALUE(SUBSTITUTE(INDEX('Basic Objective Test'!P:P,4+(ROW(A8)-1)*5):INDEX('Basic Objective Test'!P:P,8+(ROW(A8)-1)*5),"s","")))</f>
        <v>0.61876489881052521</v>
      </c>
      <c r="G11" s="10" t="str" cm="1">
        <f t="array" ref="G11">"±"&amp;TEXT(_xlfn.CONFIDENCE.T(0.05,_xlfn.STDEV.S(VALUE(SUBSTITUTE(INDEX('Basic Objective Test'!P:P,4+(ROW(A8)-1)*5):INDEX('Basic Objective Test'!P:P,8+(ROW(A8)-1)*5),"s",""))),5),"0.00")&amp;"s"</f>
        <v>±0.77s</v>
      </c>
      <c r="H11" s="10">
        <f>AVERAGE(INDEX('Basic Objective Test'!L:L,4+(ROW(A8)-1)*5):INDEX('Basic Objective Test'!L:L,8+(ROW(A8)-1)*5))</f>
        <v>1949.4</v>
      </c>
      <c r="I11" s="10">
        <f>AVERAGE(INDEX('Basic Objective Test'!M:M,4+(ROW(A8)-1)*5):INDEX('Basic Objective Test'!M:M,8+(ROW(A8)-1)*5))</f>
        <v>468.2</v>
      </c>
      <c r="J11" s="10">
        <f>AVERAGE(INDEX('Basic Objective Test'!N:N,4+(ROW(A8)-1)*5):INDEX('Basic Objective Test'!N:N,8+(ROW(A8)-1)*5))</f>
        <v>64.599999999999994</v>
      </c>
      <c r="K11" s="10">
        <f>AVERAGE(INDEX('Basic Objective Test'!O:O,4+(ROW(A8)-1)*5):INDEX('Basic Objective Test'!O:O,8+(ROW(A8)-1)*5))</f>
        <v>17704.8</v>
      </c>
      <c r="L11" s="10">
        <f>AVERAGE(INDEX('Basic Objective Test'!Q:Q,4+(ROW(A8)-1)*5):INDEX('Basic Objective Test'!Q:Q,8+(ROW(A8)-1)*5))</f>
        <v>0.2868</v>
      </c>
    </row>
    <row r="12" spans="1:12" ht="14" customHeight="1" x14ac:dyDescent="0.25">
      <c r="A12" s="35"/>
      <c r="B12" s="10" t="s">
        <v>28</v>
      </c>
      <c r="C12" s="10">
        <v>5</v>
      </c>
      <c r="D12" s="16">
        <f>COUNTIF('Basic Objective Test'!T44:T48,"PASS")/ROWS('Basic Objective Test'!T44:T48)</f>
        <v>0.2</v>
      </c>
      <c r="E12" s="10" cm="1">
        <f t="array" ref="E12">AVERAGE(VALUE(SUBSTITUTE(INDEX('Basic Objective Test'!P:P,4+(ROW(A9)-1)*5):INDEX('Basic Objective Test'!P:P,8+(ROW(A9)-1)*5),"s","")))</f>
        <v>18.346</v>
      </c>
      <c r="F12" s="33" cm="1">
        <f t="array" ref="F12">_xlfn.STDEV.S(VALUE(SUBSTITUTE(INDEX('Basic Objective Test'!P:P,4+(ROW(A9)-1)*5):INDEX('Basic Objective Test'!P:P,8+(ROW(A9)-1)*5),"s","")))</f>
        <v>0.95526436131575576</v>
      </c>
      <c r="G12" s="10" t="str" cm="1">
        <f t="array" ref="G12">"±"&amp;TEXT(_xlfn.CONFIDENCE.T(0.05,_xlfn.STDEV.S(VALUE(SUBSTITUTE(INDEX('Basic Objective Test'!P:P,4+(ROW(A9)-1)*5):INDEX('Basic Objective Test'!P:P,8+(ROW(A9)-1)*5),"s",""))),5),"0.00")&amp;"s"</f>
        <v>±1.19s</v>
      </c>
      <c r="H12" s="10">
        <f>AVERAGE(INDEX('Basic Objective Test'!L:L,4+(ROW(A9)-1)*5):INDEX('Basic Objective Test'!L:L,8+(ROW(A9)-1)*5))</f>
        <v>1641.2</v>
      </c>
      <c r="I12" s="10">
        <f>AVERAGE(INDEX('Basic Objective Test'!M:M,4+(ROW(A9)-1)*5):INDEX('Basic Objective Test'!M:M,8+(ROW(A9)-1)*5))</f>
        <v>369</v>
      </c>
      <c r="J12" s="10">
        <f>AVERAGE(INDEX('Basic Objective Test'!N:N,4+(ROW(A9)-1)*5):INDEX('Basic Objective Test'!N:N,8+(ROW(A9)-1)*5))</f>
        <v>58</v>
      </c>
      <c r="K12" s="10">
        <f>AVERAGE(INDEX('Basic Objective Test'!O:O,4+(ROW(A9)-1)*5):INDEX('Basic Objective Test'!O:O,8+(ROW(A9)-1)*5))</f>
        <v>16074.6</v>
      </c>
      <c r="L12" s="10">
        <f>AVERAGE(INDEX('Basic Objective Test'!Q:Q,4+(ROW(A9)-1)*5):INDEX('Basic Objective Test'!Q:Q,8+(ROW(A9)-1)*5))</f>
        <v>0.62439999999999996</v>
      </c>
    </row>
    <row r="13" spans="1:12" ht="14" customHeight="1" x14ac:dyDescent="0.25">
      <c r="A13" s="36"/>
      <c r="B13" s="10" t="s">
        <v>118</v>
      </c>
      <c r="C13" s="10">
        <v>5</v>
      </c>
      <c r="D13" s="16">
        <f>COUNTIF('Basic Objective Test'!T49:T53,"PASS")/ROWS('Basic Objective Test'!T49:T53)</f>
        <v>1</v>
      </c>
      <c r="E13" s="10" cm="1">
        <f t="array" ref="E13">AVERAGE(VALUE(SUBSTITUTE(INDEX('Basic Objective Test'!P:P,4+(ROW(A10)-1)*5):INDEX('Basic Objective Test'!P:P,8+(ROW(A10)-1)*5),"s","")))</f>
        <v>17.756</v>
      </c>
      <c r="F13" s="33" cm="1">
        <f t="array" ref="F13">_xlfn.STDEV.S(VALUE(SUBSTITUTE(INDEX('Basic Objective Test'!P:P,4+(ROW(A10)-1)*5):INDEX('Basic Objective Test'!P:P,8+(ROW(A10)-1)*5),"s","")))</f>
        <v>1.670218548573809</v>
      </c>
      <c r="G13" s="10" t="str" cm="1">
        <f t="array" ref="G13">"±"&amp;TEXT(_xlfn.CONFIDENCE.T(0.05,_xlfn.STDEV.S(VALUE(SUBSTITUTE(INDEX('Basic Objective Test'!P:P,4+(ROW(A10)-1)*5):INDEX('Basic Objective Test'!P:P,8+(ROW(A10)-1)*5),"s",""))),5),"0.00")&amp;"s"</f>
        <v>±2.07s</v>
      </c>
      <c r="H13" s="10">
        <f>AVERAGE(INDEX('Basic Objective Test'!L:L,4+(ROW(A10)-1)*5):INDEX('Basic Objective Test'!L:L,8+(ROW(A10)-1)*5))</f>
        <v>1735.8</v>
      </c>
      <c r="I13" s="10">
        <f>AVERAGE(INDEX('Basic Objective Test'!M:M,4+(ROW(A10)-1)*5):INDEX('Basic Objective Test'!M:M,8+(ROW(A10)-1)*5))</f>
        <v>369.8</v>
      </c>
      <c r="J13" s="10">
        <f>AVERAGE(INDEX('Basic Objective Test'!N:N,4+(ROW(A10)-1)*5):INDEX('Basic Objective Test'!N:N,8+(ROW(A10)-1)*5))</f>
        <v>58.6</v>
      </c>
      <c r="K13" s="10">
        <f>AVERAGE(INDEX('Basic Objective Test'!O:O,4+(ROW(A10)-1)*5):INDEX('Basic Objective Test'!O:O,8+(ROW(A10)-1)*5))</f>
        <v>15482.6</v>
      </c>
      <c r="L13" s="10">
        <f>AVERAGE(INDEX('Basic Objective Test'!Q:Q,4+(ROW(A10)-1)*5):INDEX('Basic Objective Test'!Q:Q,8+(ROW(A10)-1)*5))</f>
        <v>0.31979999999999997</v>
      </c>
    </row>
    <row r="14" spans="1:12" ht="14" customHeight="1" x14ac:dyDescent="0.25">
      <c r="A14" s="34" t="s">
        <v>89</v>
      </c>
      <c r="B14" s="10" t="s">
        <v>19</v>
      </c>
      <c r="C14" s="10">
        <v>5</v>
      </c>
      <c r="D14" s="16">
        <f>COUNTIF('Basic Objective Test'!T54:T58,"PASS")/ROWS('Basic Objective Test'!T54:T58)</f>
        <v>1</v>
      </c>
      <c r="E14" s="10" cm="1">
        <f t="array" ref="E14">AVERAGE(VALUE(SUBSTITUTE(INDEX('Basic Objective Test'!P:P,4+(ROW(A11)-1)*5):INDEX('Basic Objective Test'!P:P,8+(ROW(A11)-1)*5),"s","")))</f>
        <v>16.582000000000001</v>
      </c>
      <c r="F14" s="33" cm="1">
        <f t="array" ref="F14">_xlfn.STDEV.S(VALUE(SUBSTITUTE(INDEX('Basic Objective Test'!P:P,4+(ROW(A11)-1)*5):INDEX('Basic Objective Test'!P:P,8+(ROW(A11)-1)*5),"s","")))</f>
        <v>4.1219376511538819</v>
      </c>
      <c r="G14" s="10" t="str" cm="1">
        <f t="array" ref="G14">"±"&amp;TEXT(_xlfn.CONFIDENCE.T(0.05,_xlfn.STDEV.S(VALUE(SUBSTITUTE(INDEX('Basic Objective Test'!P:P,4+(ROW(A11)-1)*5):INDEX('Basic Objective Test'!P:P,8+(ROW(A11)-1)*5),"s",""))),5),"0.00")&amp;"s"</f>
        <v>±5.12s</v>
      </c>
      <c r="H14" s="10">
        <f>AVERAGE(INDEX('Basic Objective Test'!L:L,4+(ROW(A11)-1)*5):INDEX('Basic Objective Test'!L:L,8+(ROW(A11)-1)*5))</f>
        <v>2984.6</v>
      </c>
      <c r="I14" s="10">
        <f>AVERAGE(INDEX('Basic Objective Test'!M:M,4+(ROW(A11)-1)*5):INDEX('Basic Objective Test'!M:M,8+(ROW(A11)-1)*5))</f>
        <v>512.6</v>
      </c>
      <c r="J14" s="10">
        <f>AVERAGE(INDEX('Basic Objective Test'!N:N,4+(ROW(A11)-1)*5):INDEX('Basic Objective Test'!N:N,8+(ROW(A11)-1)*5))</f>
        <v>64.400000000000006</v>
      </c>
      <c r="K14" s="10">
        <f>AVERAGE(INDEX('Basic Objective Test'!O:O,4+(ROW(A11)-1)*5):INDEX('Basic Objective Test'!O:O,8+(ROW(A11)-1)*5))</f>
        <v>13822.6</v>
      </c>
      <c r="L14" s="10">
        <f>AVERAGE(INDEX('Basic Objective Test'!Q:Q,4+(ROW(A11)-1)*5):INDEX('Basic Objective Test'!Q:Q,8+(ROW(A11)-1)*5))</f>
        <v>0.35680000000000001</v>
      </c>
    </row>
    <row r="15" spans="1:12" ht="14" customHeight="1" x14ac:dyDescent="0.25">
      <c r="A15" s="35"/>
      <c r="B15" s="10" t="s">
        <v>27</v>
      </c>
      <c r="C15" s="10">
        <v>5</v>
      </c>
      <c r="D15" s="16">
        <f>COUNTIF('Basic Objective Test'!T59:T63,"PASS")/ROWS('Basic Objective Test'!T59:T63)</f>
        <v>1</v>
      </c>
      <c r="E15" s="10" cm="1">
        <f t="array" ref="E15">AVERAGE(VALUE(SUBSTITUTE(INDEX('Basic Objective Test'!P:P,4+(ROW(A12)-1)*5):INDEX('Basic Objective Test'!P:P,8+(ROW(A12)-1)*5),"s","")))</f>
        <v>20.741999999999997</v>
      </c>
      <c r="F15" s="33" cm="1">
        <f t="array" ref="F15">_xlfn.STDEV.S(VALUE(SUBSTITUTE(INDEX('Basic Objective Test'!P:P,4+(ROW(A12)-1)*5):INDEX('Basic Objective Test'!P:P,8+(ROW(A12)-1)*5),"s","")))</f>
        <v>2.546933450249548</v>
      </c>
      <c r="G15" s="10" t="str" cm="1">
        <f t="array" ref="G15">"±"&amp;TEXT(_xlfn.CONFIDENCE.T(0.05,_xlfn.STDEV.S(VALUE(SUBSTITUTE(INDEX('Basic Objective Test'!P:P,4+(ROW(A12)-1)*5):INDEX('Basic Objective Test'!P:P,8+(ROW(A12)-1)*5),"s",""))),5),"0.00")&amp;"s"</f>
        <v>±3.16s</v>
      </c>
      <c r="H15" s="10">
        <f>AVERAGE(INDEX('Basic Objective Test'!L:L,4+(ROW(A12)-1)*5):INDEX('Basic Objective Test'!L:L,8+(ROW(A12)-1)*5))</f>
        <v>3224.6</v>
      </c>
      <c r="I15" s="10">
        <f>AVERAGE(INDEX('Basic Objective Test'!M:M,4+(ROW(A12)-1)*5):INDEX('Basic Objective Test'!M:M,8+(ROW(A12)-1)*5))</f>
        <v>376.6</v>
      </c>
      <c r="J15" s="10">
        <f>AVERAGE(INDEX('Basic Objective Test'!N:N,4+(ROW(A12)-1)*5):INDEX('Basic Objective Test'!N:N,8+(ROW(A12)-1)*5))</f>
        <v>58.6</v>
      </c>
      <c r="K15" s="10">
        <f>AVERAGE(INDEX('Basic Objective Test'!O:O,4+(ROW(A12)-1)*5):INDEX('Basic Objective Test'!O:O,8+(ROW(A12)-1)*5))</f>
        <v>17027.8</v>
      </c>
      <c r="L15" s="10">
        <f>AVERAGE(INDEX('Basic Objective Test'!Q:Q,4+(ROW(A12)-1)*5):INDEX('Basic Objective Test'!Q:Q,8+(ROW(A12)-1)*5))</f>
        <v>0.26500000000000001</v>
      </c>
    </row>
    <row r="16" spans="1:12" ht="14" customHeight="1" x14ac:dyDescent="0.25">
      <c r="A16" s="35"/>
      <c r="B16" s="10" t="s">
        <v>25</v>
      </c>
      <c r="C16" s="10">
        <v>5</v>
      </c>
      <c r="D16" s="16">
        <f>COUNTIF('Basic Objective Test'!T64:T68,"PASS")/ROWS('Basic Objective Test'!T64:T68)</f>
        <v>1</v>
      </c>
      <c r="E16" s="10" cm="1">
        <f t="array" ref="E16">AVERAGE(VALUE(SUBSTITUTE(INDEX('Basic Objective Test'!P:P,4+(ROW(A13)-1)*5):INDEX('Basic Objective Test'!P:P,8+(ROW(A13)-1)*5),"s","")))</f>
        <v>16.393999999999998</v>
      </c>
      <c r="F16" s="33" cm="1">
        <f t="array" ref="F16">_xlfn.STDEV.S(VALUE(SUBSTITUTE(INDEX('Basic Objective Test'!P:P,4+(ROW(A13)-1)*5):INDEX('Basic Objective Test'!P:P,8+(ROW(A13)-1)*5),"s","")))</f>
        <v>0.86918352492439732</v>
      </c>
      <c r="G16" s="10" t="str" cm="1">
        <f t="array" ref="G16">"±"&amp;TEXT(_xlfn.CONFIDENCE.T(0.05,_xlfn.STDEV.S(VALUE(SUBSTITUTE(INDEX('Basic Objective Test'!P:P,4+(ROW(A13)-1)*5):INDEX('Basic Objective Test'!P:P,8+(ROW(A13)-1)*5),"s",""))),5),"0.00")&amp;"s"</f>
        <v>±1.08s</v>
      </c>
      <c r="H16" s="10">
        <f>AVERAGE(INDEX('Basic Objective Test'!L:L,4+(ROW(A13)-1)*5):INDEX('Basic Objective Test'!L:L,8+(ROW(A13)-1)*5))</f>
        <v>1791.6</v>
      </c>
      <c r="I16" s="10">
        <f>AVERAGE(INDEX('Basic Objective Test'!M:M,4+(ROW(A13)-1)*5):INDEX('Basic Objective Test'!M:M,8+(ROW(A13)-1)*5))</f>
        <v>493.8</v>
      </c>
      <c r="J16" s="10">
        <f>AVERAGE(INDEX('Basic Objective Test'!N:N,4+(ROW(A13)-1)*5):INDEX('Basic Objective Test'!N:N,8+(ROW(A13)-1)*5))</f>
        <v>63.4</v>
      </c>
      <c r="K16" s="10">
        <f>AVERAGE(INDEX('Basic Objective Test'!O:O,4+(ROW(A13)-1)*5):INDEX('Basic Objective Test'!O:O,8+(ROW(A13)-1)*5))</f>
        <v>14213.4</v>
      </c>
      <c r="L16" s="10">
        <f>AVERAGE(INDEX('Basic Objective Test'!Q:Q,4+(ROW(A13)-1)*5):INDEX('Basic Objective Test'!Q:Q,8+(ROW(A13)-1)*5))</f>
        <v>0.22879999999999998</v>
      </c>
    </row>
    <row r="17" spans="1:12" ht="14" customHeight="1" x14ac:dyDescent="0.25">
      <c r="A17" s="35"/>
      <c r="B17" s="10" t="s">
        <v>28</v>
      </c>
      <c r="C17" s="10">
        <v>5</v>
      </c>
      <c r="D17" s="16">
        <f>COUNTIF('Basic Objective Test'!T69:T73,"PASS")/ROWS('Basic Objective Test'!T69:T73)</f>
        <v>0.8</v>
      </c>
      <c r="E17" s="10" cm="1">
        <f t="array" ref="E17">AVERAGE(VALUE(SUBSTITUTE(INDEX('Basic Objective Test'!P:P,4+(ROW(A14)-1)*5):INDEX('Basic Objective Test'!P:P,8+(ROW(A14)-1)*5),"s","")))</f>
        <v>22.588000000000001</v>
      </c>
      <c r="F17" s="33" cm="1">
        <f t="array" ref="F17">_xlfn.STDEV.S(VALUE(SUBSTITUTE(INDEX('Basic Objective Test'!P:P,4+(ROW(A14)-1)*5):INDEX('Basic Objective Test'!P:P,8+(ROW(A14)-1)*5),"s","")))</f>
        <v>1.5746015368975093</v>
      </c>
      <c r="G17" s="10" t="str" cm="1">
        <f t="array" ref="G17">"±"&amp;TEXT(_xlfn.CONFIDENCE.T(0.05,_xlfn.STDEV.S(VALUE(SUBSTITUTE(INDEX('Basic Objective Test'!P:P,4+(ROW(A14)-1)*5):INDEX('Basic Objective Test'!P:P,8+(ROW(A14)-1)*5),"s",""))),5),"0.00")&amp;"s"</f>
        <v>±1.96s</v>
      </c>
      <c r="H17" s="10">
        <f>AVERAGE(INDEX('Basic Objective Test'!L:L,4+(ROW(A14)-1)*5):INDEX('Basic Objective Test'!L:L,8+(ROW(A14)-1)*5))</f>
        <v>1813.8</v>
      </c>
      <c r="I17" s="10">
        <f>AVERAGE(INDEX('Basic Objective Test'!M:M,4+(ROW(A14)-1)*5):INDEX('Basic Objective Test'!M:M,8+(ROW(A14)-1)*5))</f>
        <v>373</v>
      </c>
      <c r="J17" s="10">
        <f>AVERAGE(INDEX('Basic Objective Test'!N:N,4+(ROW(A14)-1)*5):INDEX('Basic Objective Test'!N:N,8+(ROW(A14)-1)*5))</f>
        <v>59.2</v>
      </c>
      <c r="K17" s="10">
        <f>AVERAGE(INDEX('Basic Objective Test'!O:O,4+(ROW(A14)-1)*5):INDEX('Basic Objective Test'!O:O,8+(ROW(A14)-1)*5))</f>
        <v>20430.400000000001</v>
      </c>
      <c r="L17" s="10">
        <f>AVERAGE(INDEX('Basic Objective Test'!Q:Q,4+(ROW(A14)-1)*5):INDEX('Basic Objective Test'!Q:Q,8+(ROW(A14)-1)*5))</f>
        <v>0.41620000000000001</v>
      </c>
    </row>
    <row r="18" spans="1:12" ht="14" customHeight="1" x14ac:dyDescent="0.25">
      <c r="A18" s="36"/>
      <c r="B18" s="10" t="s">
        <v>118</v>
      </c>
      <c r="C18" s="10">
        <v>5</v>
      </c>
      <c r="D18" s="16">
        <f>COUNTIF('Basic Objective Test'!T74:T78,"PASS")/ROWS('Basic Objective Test'!T74:T78)</f>
        <v>1</v>
      </c>
      <c r="E18" s="10" cm="1">
        <f t="array" ref="E18">AVERAGE(VALUE(SUBSTITUTE(INDEX('Basic Objective Test'!P:P,4+(ROW(A15)-1)*5):INDEX('Basic Objective Test'!P:P,8+(ROW(A15)-1)*5),"s","")))</f>
        <v>15.766</v>
      </c>
      <c r="F18" s="33" cm="1">
        <f t="array" ref="F18">_xlfn.STDEV.S(VALUE(SUBSTITUTE(INDEX('Basic Objective Test'!P:P,4+(ROW(A15)-1)*5):INDEX('Basic Objective Test'!P:P,8+(ROW(A15)-1)*5),"s","")))</f>
        <v>0.31918646587848892</v>
      </c>
      <c r="G18" s="10" t="str" cm="1">
        <f t="array" ref="G18">"±"&amp;TEXT(_xlfn.CONFIDENCE.T(0.05,_xlfn.STDEV.S(VALUE(SUBSTITUTE(INDEX('Basic Objective Test'!P:P,4+(ROW(A15)-1)*5):INDEX('Basic Objective Test'!P:P,8+(ROW(A15)-1)*5),"s",""))),5),"0.00")&amp;"s"</f>
        <v>±0.40s</v>
      </c>
      <c r="H18" s="10">
        <f>AVERAGE(INDEX('Basic Objective Test'!L:L,4+(ROW(A15)-1)*5):INDEX('Basic Objective Test'!L:L,8+(ROW(A15)-1)*5))</f>
        <v>1645</v>
      </c>
      <c r="I18" s="10">
        <f>AVERAGE(INDEX('Basic Objective Test'!M:M,4+(ROW(A15)-1)*5):INDEX('Basic Objective Test'!M:M,8+(ROW(A15)-1)*5))</f>
        <v>364.6</v>
      </c>
      <c r="J18" s="10">
        <f>AVERAGE(INDEX('Basic Objective Test'!N:N,4+(ROW(A15)-1)*5):INDEX('Basic Objective Test'!N:N,8+(ROW(A15)-1)*5))</f>
        <v>57</v>
      </c>
      <c r="K18" s="10">
        <f>AVERAGE(INDEX('Basic Objective Test'!O:O,4+(ROW(A15)-1)*5):INDEX('Basic Objective Test'!O:O,8+(ROW(A15)-1)*5))</f>
        <v>13651.2</v>
      </c>
      <c r="L18" s="10">
        <f>AVERAGE(INDEX('Basic Objective Test'!Q:Q,4+(ROW(A15)-1)*5):INDEX('Basic Objective Test'!Q:Q,8+(ROW(A15)-1)*5))</f>
        <v>0.28860000000000002</v>
      </c>
    </row>
    <row r="19" spans="1:12" x14ac:dyDescent="0.25">
      <c r="A19" s="15" t="s">
        <v>189</v>
      </c>
      <c r="B19" s="16" t="str">
        <f>COUNTIF('Basic Objective Test'!T4:T78,"PASS")&amp;"/"&amp;ROWS('Basic Objective Test'!T4:T78)&amp;" = "&amp;TEXT(COUNTIF('Basic Objective Test'!T4:T78,"PASS")/ROWS('Basic Objective Test'!T4:T78),"0.0%")</f>
        <v>70/75 = 93.3%</v>
      </c>
    </row>
  </sheetData>
  <mergeCells count="5">
    <mergeCell ref="A4:A8"/>
    <mergeCell ref="A9:A13"/>
    <mergeCell ref="A14:A18"/>
    <mergeCell ref="A1:L1"/>
    <mergeCell ref="A2:L2"/>
  </mergeCells>
  <phoneticPr fontId="3" type="noConversion"/>
  <pageMargins left="0.7" right="0.7" top="0.75" bottom="0.75" header="0.3" footer="0.3"/>
  <pageSetup paperSize="9"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2EC0-6C3B-446C-8FAF-5FFFA21E1349}">
  <dimension ref="A1"/>
  <sheetViews>
    <sheetView workbookViewId="0">
      <selection activeCell="G24" sqref="G24"/>
    </sheetView>
  </sheetViews>
  <sheetFormatPr defaultRowHeight="14" x14ac:dyDescent="0.25"/>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7D79-5826-44E4-80F2-98F85EABA16D}">
  <dimension ref="A1:AY396"/>
  <sheetViews>
    <sheetView topLeftCell="C1" workbookViewId="0">
      <pane ySplit="3" topLeftCell="A4" activePane="bottomLeft" state="frozen"/>
      <selection pane="bottomLeft" activeCell="T13" sqref="T13"/>
    </sheetView>
  </sheetViews>
  <sheetFormatPr defaultRowHeight="14" x14ac:dyDescent="0.25"/>
  <cols>
    <col min="1" max="1" width="23.36328125" customWidth="1"/>
    <col min="2" max="3" width="13" customWidth="1"/>
    <col min="4" max="4" width="5" customWidth="1"/>
    <col min="5" max="5" width="11" customWidth="1"/>
    <col min="6" max="6" width="13.81640625" customWidth="1"/>
    <col min="7" max="7" width="10" customWidth="1"/>
    <col min="8" max="8" width="22" customWidth="1"/>
    <col min="9" max="9" width="12" customWidth="1"/>
    <col min="10" max="10" width="9" customWidth="1"/>
    <col min="11" max="13" width="10" customWidth="1"/>
    <col min="14" max="14" width="11" customWidth="1"/>
    <col min="15" max="15" width="9" customWidth="1"/>
    <col min="16" max="16" width="13" customWidth="1"/>
    <col min="17" max="17" width="10" customWidth="1"/>
    <col min="18" max="18" width="9" customWidth="1"/>
    <col min="19" max="19" width="8" customWidth="1"/>
    <col min="20" max="20" width="28" customWidth="1"/>
  </cols>
  <sheetData>
    <row r="1" spans="1:51" ht="28" customHeight="1" x14ac:dyDescent="0.25">
      <c r="A1" s="40" t="s">
        <v>80</v>
      </c>
      <c r="B1" s="41"/>
      <c r="C1" s="41"/>
      <c r="D1" s="41"/>
      <c r="E1" s="41"/>
      <c r="F1" s="41"/>
      <c r="G1" s="41"/>
      <c r="H1" s="41"/>
      <c r="I1" s="41"/>
      <c r="J1" s="41"/>
      <c r="K1" s="41"/>
      <c r="L1" s="41"/>
      <c r="M1" s="41"/>
      <c r="N1" s="41"/>
      <c r="O1" s="41"/>
      <c r="P1" s="41"/>
      <c r="Q1" s="41"/>
      <c r="R1" s="41"/>
      <c r="S1" s="41"/>
      <c r="T1" s="4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75.5" customHeight="1" x14ac:dyDescent="0.25">
      <c r="A2" s="42" t="s">
        <v>83</v>
      </c>
      <c r="B2" s="43"/>
      <c r="C2" s="43"/>
      <c r="D2" s="43"/>
      <c r="E2" s="43"/>
      <c r="F2" s="43"/>
      <c r="G2" s="43"/>
      <c r="H2" s="43"/>
      <c r="I2" s="43"/>
      <c r="J2" s="43"/>
      <c r="K2" s="43"/>
      <c r="L2" s="43"/>
      <c r="M2" s="43"/>
      <c r="N2" s="43"/>
      <c r="O2" s="43"/>
      <c r="P2" s="43"/>
      <c r="Q2" s="43"/>
      <c r="R2" s="43"/>
      <c r="S2" s="43"/>
      <c r="T2" s="43"/>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row>
    <row r="3" spans="1:51" ht="44" customHeight="1" x14ac:dyDescent="0.25">
      <c r="A3" s="4" t="s">
        <v>82</v>
      </c>
      <c r="B3" s="1" t="s">
        <v>0</v>
      </c>
      <c r="C3" s="1" t="s">
        <v>1</v>
      </c>
      <c r="D3" s="1" t="s">
        <v>2</v>
      </c>
      <c r="E3" s="1" t="s">
        <v>3</v>
      </c>
      <c r="F3" s="4" t="s">
        <v>57</v>
      </c>
      <c r="G3" s="1" t="s">
        <v>4</v>
      </c>
      <c r="H3" s="1" t="s">
        <v>5</v>
      </c>
      <c r="I3" s="1" t="s">
        <v>6</v>
      </c>
      <c r="J3" s="1" t="s">
        <v>7</v>
      </c>
      <c r="K3" s="2" t="s">
        <v>8</v>
      </c>
      <c r="L3" s="2" t="s">
        <v>9</v>
      </c>
      <c r="M3" s="2" t="s">
        <v>10</v>
      </c>
      <c r="N3" s="3" t="s">
        <v>51</v>
      </c>
      <c r="O3" s="4" t="s">
        <v>52</v>
      </c>
      <c r="P3" s="1" t="s">
        <v>11</v>
      </c>
      <c r="Q3" s="1" t="s">
        <v>12</v>
      </c>
      <c r="R3" s="1" t="s">
        <v>13</v>
      </c>
      <c r="S3" s="1" t="s">
        <v>14</v>
      </c>
      <c r="T3" s="1" t="s">
        <v>15</v>
      </c>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row>
    <row r="4" spans="1:51" s="12" customFormat="1" x14ac:dyDescent="0.25">
      <c r="A4" s="5">
        <v>1</v>
      </c>
      <c r="B4" s="10" t="s">
        <v>53</v>
      </c>
      <c r="C4" s="10" t="s">
        <v>59</v>
      </c>
      <c r="D4" s="5">
        <v>1</v>
      </c>
      <c r="E4" s="10" t="s">
        <v>26</v>
      </c>
      <c r="F4" s="10" t="s">
        <v>56</v>
      </c>
      <c r="G4" s="10" t="s">
        <v>19</v>
      </c>
      <c r="H4" s="11" t="s">
        <v>20</v>
      </c>
      <c r="I4" s="10" t="s">
        <v>19</v>
      </c>
      <c r="J4" s="10" t="s">
        <v>17</v>
      </c>
      <c r="K4" s="10">
        <v>7005</v>
      </c>
      <c r="L4" s="5">
        <v>337</v>
      </c>
      <c r="M4" s="5">
        <v>55</v>
      </c>
      <c r="N4" s="5">
        <v>15320</v>
      </c>
      <c r="O4" s="5">
        <v>22.8</v>
      </c>
      <c r="P4" s="5">
        <v>0.26700000000000002</v>
      </c>
      <c r="Q4" s="5">
        <v>0.5</v>
      </c>
      <c r="R4" s="10" t="s">
        <v>50</v>
      </c>
      <c r="S4" s="5" t="str">
        <f>IF(R4="Pending","Pending",IF(AND(R4="Success",P4&lt;=0.5),"PASS","FAIL"))</f>
        <v>PASS</v>
      </c>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row>
    <row r="5" spans="1:51" s="12" customFormat="1" x14ac:dyDescent="0.25">
      <c r="A5" s="5">
        <v>2</v>
      </c>
      <c r="B5" s="10" t="s">
        <v>53</v>
      </c>
      <c r="C5" s="10" t="s">
        <v>59</v>
      </c>
      <c r="D5" s="5">
        <v>2</v>
      </c>
      <c r="E5" s="5" t="s">
        <v>16</v>
      </c>
      <c r="F5" s="10" t="s">
        <v>56</v>
      </c>
      <c r="G5" s="10" t="s">
        <v>19</v>
      </c>
      <c r="H5" s="11" t="s">
        <v>21</v>
      </c>
      <c r="I5" s="10" t="s">
        <v>19</v>
      </c>
      <c r="J5" s="10" t="s">
        <v>17</v>
      </c>
      <c r="K5" s="5">
        <v>6363</v>
      </c>
      <c r="L5" s="5">
        <v>337</v>
      </c>
      <c r="M5" s="5">
        <v>55</v>
      </c>
      <c r="N5" s="5">
        <v>18263</v>
      </c>
      <c r="O5" s="5">
        <v>25.03</v>
      </c>
      <c r="P5" s="5">
        <v>0.05</v>
      </c>
      <c r="Q5" s="5">
        <v>0.5</v>
      </c>
      <c r="R5" s="5" t="s">
        <v>50</v>
      </c>
      <c r="S5" s="5" t="str">
        <f t="shared" ref="S5:S28" si="0">IF(R5="Pending","Pending",IF(AND(R5="Success",P5&lt;=0.5),"PASS","FAIL"))</f>
        <v>PASS</v>
      </c>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row>
    <row r="6" spans="1:51" s="12" customFormat="1" x14ac:dyDescent="0.25">
      <c r="A6" s="5">
        <v>3</v>
      </c>
      <c r="B6" s="10" t="s">
        <v>53</v>
      </c>
      <c r="C6" s="10" t="s">
        <v>59</v>
      </c>
      <c r="D6" s="5">
        <v>3</v>
      </c>
      <c r="E6" s="5" t="s">
        <v>16</v>
      </c>
      <c r="F6" s="10" t="s">
        <v>56</v>
      </c>
      <c r="G6" s="10" t="s">
        <v>19</v>
      </c>
      <c r="H6" s="11" t="s">
        <v>22</v>
      </c>
      <c r="I6" s="10" t="s">
        <v>19</v>
      </c>
      <c r="J6" s="10" t="s">
        <v>17</v>
      </c>
      <c r="K6" s="5">
        <v>6328</v>
      </c>
      <c r="L6" s="5">
        <v>337</v>
      </c>
      <c r="M6" s="5">
        <v>55</v>
      </c>
      <c r="N6" s="5">
        <v>23742</v>
      </c>
      <c r="O6" s="5">
        <v>30.31</v>
      </c>
      <c r="P6" s="5">
        <v>0.17</v>
      </c>
      <c r="Q6" s="5">
        <v>0.5</v>
      </c>
      <c r="R6" s="10" t="s">
        <v>50</v>
      </c>
      <c r="S6" s="5" t="str">
        <f t="shared" si="0"/>
        <v>PASS</v>
      </c>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row>
    <row r="7" spans="1:51" s="12" customFormat="1" x14ac:dyDescent="0.25">
      <c r="A7" s="5">
        <v>4</v>
      </c>
      <c r="B7" s="10" t="s">
        <v>53</v>
      </c>
      <c r="C7" s="10" t="s">
        <v>59</v>
      </c>
      <c r="D7" s="5">
        <v>4</v>
      </c>
      <c r="E7" s="5" t="s">
        <v>16</v>
      </c>
      <c r="F7" s="10" t="s">
        <v>56</v>
      </c>
      <c r="G7" s="10" t="s">
        <v>19</v>
      </c>
      <c r="H7" s="11" t="s">
        <v>23</v>
      </c>
      <c r="I7" s="10" t="s">
        <v>19</v>
      </c>
      <c r="J7" s="10" t="s">
        <v>17</v>
      </c>
      <c r="K7" s="5">
        <v>6228</v>
      </c>
      <c r="L7" s="5">
        <v>334</v>
      </c>
      <c r="M7" s="5">
        <v>55</v>
      </c>
      <c r="N7" s="5">
        <v>18398</v>
      </c>
      <c r="O7" s="5">
        <v>25.02</v>
      </c>
      <c r="P7" s="5">
        <v>0.22</v>
      </c>
      <c r="Q7" s="5">
        <v>0.5</v>
      </c>
      <c r="R7" s="5" t="s">
        <v>50</v>
      </c>
      <c r="S7" s="5" t="str">
        <f t="shared" si="0"/>
        <v>PASS</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row>
    <row r="8" spans="1:51" s="12" customFormat="1" x14ac:dyDescent="0.25">
      <c r="A8" s="5">
        <v>5</v>
      </c>
      <c r="B8" s="10" t="s">
        <v>53</v>
      </c>
      <c r="C8" s="10" t="s">
        <v>59</v>
      </c>
      <c r="D8" s="5">
        <v>5</v>
      </c>
      <c r="E8" s="5" t="s">
        <v>16</v>
      </c>
      <c r="F8" s="10" t="s">
        <v>56</v>
      </c>
      <c r="G8" s="10" t="s">
        <v>19</v>
      </c>
      <c r="H8" s="11" t="s">
        <v>24</v>
      </c>
      <c r="I8" s="10" t="s">
        <v>19</v>
      </c>
      <c r="J8" s="10" t="s">
        <v>17</v>
      </c>
      <c r="K8" s="5">
        <v>5803</v>
      </c>
      <c r="L8" s="5">
        <v>338</v>
      </c>
      <c r="M8" s="5">
        <v>55</v>
      </c>
      <c r="N8" s="5">
        <v>19184</v>
      </c>
      <c r="O8" s="5">
        <v>25.48</v>
      </c>
      <c r="P8" s="5">
        <v>0.14799999999999999</v>
      </c>
      <c r="Q8" s="5">
        <v>0.5</v>
      </c>
      <c r="R8" s="10" t="s">
        <v>50</v>
      </c>
      <c r="S8" s="5" t="str">
        <f t="shared" si="0"/>
        <v>PASS</v>
      </c>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row>
    <row r="9" spans="1:51" s="12" customFormat="1" x14ac:dyDescent="0.25">
      <c r="A9" s="5">
        <v>6</v>
      </c>
      <c r="B9" s="10" t="s">
        <v>53</v>
      </c>
      <c r="C9" s="10" t="s">
        <v>61</v>
      </c>
      <c r="D9" s="5">
        <v>1</v>
      </c>
      <c r="E9" s="5" t="s">
        <v>16</v>
      </c>
      <c r="F9" s="10" t="s">
        <v>56</v>
      </c>
      <c r="G9" s="10" t="s">
        <v>27</v>
      </c>
      <c r="H9" s="11" t="s">
        <v>34</v>
      </c>
      <c r="I9" s="10" t="s">
        <v>27</v>
      </c>
      <c r="J9" s="10" t="s">
        <v>17</v>
      </c>
      <c r="K9" s="5">
        <v>6756</v>
      </c>
      <c r="L9" s="5">
        <v>329</v>
      </c>
      <c r="M9" s="5">
        <v>54</v>
      </c>
      <c r="N9" s="5">
        <v>15131</v>
      </c>
      <c r="O9" s="5">
        <v>22.27</v>
      </c>
      <c r="P9" s="5">
        <v>0.32</v>
      </c>
      <c r="Q9" s="5">
        <v>0.5</v>
      </c>
      <c r="R9" s="10" t="s">
        <v>50</v>
      </c>
      <c r="S9" s="5" t="str">
        <f t="shared" si="0"/>
        <v>PASS</v>
      </c>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51" s="12" customFormat="1" x14ac:dyDescent="0.25">
      <c r="A10" s="5">
        <v>7</v>
      </c>
      <c r="B10" s="10" t="s">
        <v>53</v>
      </c>
      <c r="C10" s="10" t="s">
        <v>61</v>
      </c>
      <c r="D10" s="5">
        <v>2</v>
      </c>
      <c r="E10" s="5" t="s">
        <v>16</v>
      </c>
      <c r="F10" s="10" t="s">
        <v>56</v>
      </c>
      <c r="G10" s="10" t="s">
        <v>27</v>
      </c>
      <c r="H10" s="11" t="s">
        <v>35</v>
      </c>
      <c r="I10" s="10" t="s">
        <v>27</v>
      </c>
      <c r="J10" s="10" t="s">
        <v>17</v>
      </c>
      <c r="K10" s="5">
        <v>1682</v>
      </c>
      <c r="L10" s="5">
        <v>329</v>
      </c>
      <c r="M10" s="5">
        <v>55</v>
      </c>
      <c r="N10" s="5">
        <v>15578</v>
      </c>
      <c r="O10" s="5">
        <v>17.53</v>
      </c>
      <c r="P10" s="5">
        <v>0.18</v>
      </c>
      <c r="Q10" s="5">
        <v>0.5</v>
      </c>
      <c r="R10" s="5" t="s">
        <v>50</v>
      </c>
      <c r="S10" s="5" t="str">
        <f t="shared" si="0"/>
        <v>PASS</v>
      </c>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row>
    <row r="11" spans="1:51" s="12" customFormat="1" x14ac:dyDescent="0.25">
      <c r="A11" s="5">
        <v>8</v>
      </c>
      <c r="B11" s="10" t="s">
        <v>53</v>
      </c>
      <c r="C11" s="10" t="s">
        <v>61</v>
      </c>
      <c r="D11" s="5">
        <v>3</v>
      </c>
      <c r="E11" s="5" t="s">
        <v>16</v>
      </c>
      <c r="F11" s="10" t="s">
        <v>56</v>
      </c>
      <c r="G11" s="10" t="s">
        <v>27</v>
      </c>
      <c r="H11" s="11" t="s">
        <v>36</v>
      </c>
      <c r="I11" s="10" t="s">
        <v>27</v>
      </c>
      <c r="J11" s="10" t="s">
        <v>17</v>
      </c>
      <c r="K11" s="5">
        <v>1743</v>
      </c>
      <c r="L11" s="5">
        <v>333</v>
      </c>
      <c r="M11" s="5">
        <v>55</v>
      </c>
      <c r="N11" s="5">
        <v>14299</v>
      </c>
      <c r="O11" s="5">
        <v>16.43</v>
      </c>
      <c r="P11" s="5">
        <v>0.27800000000000002</v>
      </c>
      <c r="Q11" s="5">
        <v>0.5</v>
      </c>
      <c r="R11" s="10" t="s">
        <v>50</v>
      </c>
      <c r="S11" s="5" t="str">
        <f t="shared" si="0"/>
        <v>PASS</v>
      </c>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spans="1:51" s="12" customFormat="1" x14ac:dyDescent="0.25">
      <c r="A12" s="5">
        <v>9</v>
      </c>
      <c r="B12" s="10" t="s">
        <v>53</v>
      </c>
      <c r="C12" s="10" t="s">
        <v>61</v>
      </c>
      <c r="D12" s="5">
        <v>4</v>
      </c>
      <c r="E12" s="5" t="s">
        <v>16</v>
      </c>
      <c r="F12" s="10" t="s">
        <v>56</v>
      </c>
      <c r="G12" s="10" t="s">
        <v>27</v>
      </c>
      <c r="H12" s="11" t="s">
        <v>37</v>
      </c>
      <c r="I12" s="10" t="s">
        <v>27</v>
      </c>
      <c r="J12" s="10" t="s">
        <v>17</v>
      </c>
      <c r="K12" s="5">
        <v>1642</v>
      </c>
      <c r="L12" s="5">
        <v>330</v>
      </c>
      <c r="M12" s="5">
        <v>55</v>
      </c>
      <c r="N12" s="5">
        <v>14573</v>
      </c>
      <c r="O12" s="5">
        <v>16.600000000000001</v>
      </c>
      <c r="P12" s="5">
        <v>0.19</v>
      </c>
      <c r="Q12" s="5">
        <v>0.5</v>
      </c>
      <c r="R12" s="5" t="s">
        <v>50</v>
      </c>
      <c r="S12" s="5" t="str">
        <f t="shared" si="0"/>
        <v>PASS</v>
      </c>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row>
    <row r="13" spans="1:51" s="12" customFormat="1" x14ac:dyDescent="0.25">
      <c r="A13" s="5">
        <v>10</v>
      </c>
      <c r="B13" s="10" t="s">
        <v>53</v>
      </c>
      <c r="C13" s="10" t="s">
        <v>61</v>
      </c>
      <c r="D13" s="5">
        <v>5</v>
      </c>
      <c r="E13" s="5" t="s">
        <v>16</v>
      </c>
      <c r="F13" s="10" t="s">
        <v>56</v>
      </c>
      <c r="G13" s="10" t="s">
        <v>27</v>
      </c>
      <c r="H13" s="11" t="s">
        <v>38</v>
      </c>
      <c r="I13" s="10" t="s">
        <v>27</v>
      </c>
      <c r="J13" s="10" t="s">
        <v>17</v>
      </c>
      <c r="K13" s="5">
        <v>1667</v>
      </c>
      <c r="L13" s="5">
        <v>372</v>
      </c>
      <c r="M13" s="5">
        <v>58</v>
      </c>
      <c r="N13" s="5">
        <v>16103</v>
      </c>
      <c r="O13" s="5">
        <v>18.2</v>
      </c>
      <c r="P13" s="5">
        <v>0.16500000000000001</v>
      </c>
      <c r="Q13" s="5">
        <v>0.5</v>
      </c>
      <c r="R13" s="10" t="s">
        <v>50</v>
      </c>
      <c r="S13" s="5" t="str">
        <f t="shared" si="0"/>
        <v>PASS</v>
      </c>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row>
    <row r="14" spans="1:51" s="12" customFormat="1" x14ac:dyDescent="0.25">
      <c r="A14" s="5">
        <v>11</v>
      </c>
      <c r="B14" s="10" t="s">
        <v>53</v>
      </c>
      <c r="C14" s="10" t="s">
        <v>60</v>
      </c>
      <c r="D14" s="5">
        <v>1</v>
      </c>
      <c r="E14" s="10" t="s">
        <v>26</v>
      </c>
      <c r="F14" s="10" t="s">
        <v>56</v>
      </c>
      <c r="G14" s="10" t="s">
        <v>25</v>
      </c>
      <c r="H14" s="11" t="s">
        <v>29</v>
      </c>
      <c r="I14" s="10" t="s">
        <v>25</v>
      </c>
      <c r="J14" s="10" t="s">
        <v>17</v>
      </c>
      <c r="K14" s="5">
        <v>6832</v>
      </c>
      <c r="L14" s="5">
        <v>328</v>
      </c>
      <c r="M14" s="5">
        <v>55</v>
      </c>
      <c r="N14" s="5">
        <v>20905</v>
      </c>
      <c r="O14" s="5">
        <v>28.12</v>
      </c>
      <c r="P14" s="5">
        <v>0.36599999999999999</v>
      </c>
      <c r="Q14" s="5">
        <v>0.5</v>
      </c>
      <c r="R14" s="5" t="s">
        <v>50</v>
      </c>
      <c r="S14" s="5" t="str">
        <f t="shared" si="0"/>
        <v>PASS</v>
      </c>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row>
    <row r="15" spans="1:51" s="12" customFormat="1" x14ac:dyDescent="0.25">
      <c r="A15" s="5">
        <v>12</v>
      </c>
      <c r="B15" s="10" t="s">
        <v>53</v>
      </c>
      <c r="C15" s="10" t="s">
        <v>60</v>
      </c>
      <c r="D15" s="5">
        <v>2</v>
      </c>
      <c r="E15" s="10" t="s">
        <v>26</v>
      </c>
      <c r="F15" s="10" t="s">
        <v>56</v>
      </c>
      <c r="G15" s="10" t="s">
        <v>25</v>
      </c>
      <c r="H15" s="11" t="s">
        <v>30</v>
      </c>
      <c r="I15" s="10" t="s">
        <v>25</v>
      </c>
      <c r="J15" s="10" t="s">
        <v>17</v>
      </c>
      <c r="K15" s="5">
        <v>6489</v>
      </c>
      <c r="L15" s="5">
        <v>328</v>
      </c>
      <c r="M15" s="5">
        <v>55</v>
      </c>
      <c r="N15" s="5">
        <v>19398</v>
      </c>
      <c r="O15" s="5">
        <v>26.27</v>
      </c>
      <c r="P15" s="5">
        <v>0.36099999999999999</v>
      </c>
      <c r="Q15" s="5">
        <v>0.5</v>
      </c>
      <c r="R15" s="10" t="s">
        <v>50</v>
      </c>
      <c r="S15" s="5" t="str">
        <f t="shared" si="0"/>
        <v>PASS</v>
      </c>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row>
    <row r="16" spans="1:51" s="12" customFormat="1" x14ac:dyDescent="0.25">
      <c r="A16" s="5">
        <v>13</v>
      </c>
      <c r="B16" s="10" t="s">
        <v>53</v>
      </c>
      <c r="C16" s="10" t="s">
        <v>60</v>
      </c>
      <c r="D16" s="5">
        <v>3</v>
      </c>
      <c r="E16" s="10" t="s">
        <v>26</v>
      </c>
      <c r="F16" s="10" t="s">
        <v>56</v>
      </c>
      <c r="G16" s="10" t="s">
        <v>25</v>
      </c>
      <c r="H16" s="11" t="s">
        <v>31</v>
      </c>
      <c r="I16" s="10" t="s">
        <v>25</v>
      </c>
      <c r="J16" s="10" t="s">
        <v>17</v>
      </c>
      <c r="K16" s="5">
        <v>1653</v>
      </c>
      <c r="L16" s="5">
        <v>328</v>
      </c>
      <c r="M16" s="5">
        <v>55</v>
      </c>
      <c r="N16" s="5">
        <v>19327</v>
      </c>
      <c r="O16" s="5">
        <v>21.3</v>
      </c>
      <c r="P16" s="5">
        <v>0.34699999999999998</v>
      </c>
      <c r="Q16" s="5">
        <v>0.5</v>
      </c>
      <c r="R16" s="5" t="s">
        <v>50</v>
      </c>
      <c r="S16" s="5" t="str">
        <f t="shared" si="0"/>
        <v>PASS</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row>
    <row r="17" spans="1:51" s="12" customFormat="1" x14ac:dyDescent="0.25">
      <c r="A17" s="5">
        <v>14</v>
      </c>
      <c r="B17" s="10" t="s">
        <v>53</v>
      </c>
      <c r="C17" s="10" t="s">
        <v>60</v>
      </c>
      <c r="D17" s="5">
        <v>4</v>
      </c>
      <c r="E17" s="10" t="s">
        <v>26</v>
      </c>
      <c r="F17" s="10" t="s">
        <v>56</v>
      </c>
      <c r="G17" s="10" t="s">
        <v>25</v>
      </c>
      <c r="H17" s="11" t="s">
        <v>32</v>
      </c>
      <c r="I17" s="10" t="s">
        <v>25</v>
      </c>
      <c r="J17" s="10" t="s">
        <v>17</v>
      </c>
      <c r="K17" s="5">
        <v>1638</v>
      </c>
      <c r="L17" s="5">
        <v>330</v>
      </c>
      <c r="M17" s="5">
        <v>55</v>
      </c>
      <c r="N17" s="5">
        <v>18257</v>
      </c>
      <c r="O17" s="5">
        <v>20.28</v>
      </c>
      <c r="P17" s="5">
        <v>0.36199999999999999</v>
      </c>
      <c r="Q17" s="5">
        <v>0.5</v>
      </c>
      <c r="R17" s="10" t="s">
        <v>50</v>
      </c>
      <c r="S17" s="5" t="str">
        <f t="shared" si="0"/>
        <v>PASS</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row>
    <row r="18" spans="1:51" s="12" customFormat="1" x14ac:dyDescent="0.25">
      <c r="A18" s="5">
        <v>15</v>
      </c>
      <c r="B18" s="10" t="s">
        <v>53</v>
      </c>
      <c r="C18" s="10" t="s">
        <v>60</v>
      </c>
      <c r="D18" s="5">
        <v>5</v>
      </c>
      <c r="E18" s="10" t="s">
        <v>26</v>
      </c>
      <c r="F18" s="10" t="s">
        <v>56</v>
      </c>
      <c r="G18" s="10" t="s">
        <v>25</v>
      </c>
      <c r="H18" s="11" t="s">
        <v>33</v>
      </c>
      <c r="I18" s="10" t="s">
        <v>25</v>
      </c>
      <c r="J18" s="10" t="s">
        <v>17</v>
      </c>
      <c r="K18" s="5">
        <v>1662</v>
      </c>
      <c r="L18" s="5">
        <v>333</v>
      </c>
      <c r="M18" s="5">
        <v>55</v>
      </c>
      <c r="N18" s="5">
        <v>19130</v>
      </c>
      <c r="O18" s="5">
        <v>21.18</v>
      </c>
      <c r="P18" s="5">
        <v>0.32900000000000001</v>
      </c>
      <c r="Q18" s="5">
        <v>0.5</v>
      </c>
      <c r="R18" s="5" t="s">
        <v>50</v>
      </c>
      <c r="S18" s="5" t="str">
        <f t="shared" si="0"/>
        <v>PASS</v>
      </c>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row>
    <row r="19" spans="1:51" s="12" customFormat="1" x14ac:dyDescent="0.25">
      <c r="A19" s="5">
        <v>16</v>
      </c>
      <c r="B19" s="10" t="s">
        <v>53</v>
      </c>
      <c r="C19" s="10" t="s">
        <v>62</v>
      </c>
      <c r="D19" s="5">
        <v>1</v>
      </c>
      <c r="E19" s="10" t="s">
        <v>26</v>
      </c>
      <c r="F19" s="10" t="s">
        <v>56</v>
      </c>
      <c r="G19" s="10" t="s">
        <v>28</v>
      </c>
      <c r="H19" s="11" t="s">
        <v>39</v>
      </c>
      <c r="I19" s="10" t="s">
        <v>28</v>
      </c>
      <c r="J19" s="10" t="s">
        <v>17</v>
      </c>
      <c r="K19" s="5">
        <v>1653</v>
      </c>
      <c r="L19" s="5">
        <v>362</v>
      </c>
      <c r="M19" s="5">
        <v>55</v>
      </c>
      <c r="N19" s="5">
        <v>16360</v>
      </c>
      <c r="O19" s="5">
        <v>18.73</v>
      </c>
      <c r="P19" s="5">
        <v>0.48399999999999999</v>
      </c>
      <c r="Q19" s="5">
        <v>0.5</v>
      </c>
      <c r="R19" s="5" t="s">
        <v>50</v>
      </c>
      <c r="S19" s="5" t="str">
        <f t="shared" si="0"/>
        <v>PASS</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row>
    <row r="20" spans="1:51" s="12" customFormat="1" x14ac:dyDescent="0.25">
      <c r="A20" s="5">
        <v>17</v>
      </c>
      <c r="B20" s="10" t="s">
        <v>53</v>
      </c>
      <c r="C20" s="10" t="s">
        <v>62</v>
      </c>
      <c r="D20" s="5">
        <v>2</v>
      </c>
      <c r="E20" s="10" t="s">
        <v>26</v>
      </c>
      <c r="F20" s="10" t="s">
        <v>56</v>
      </c>
      <c r="G20" s="10" t="s">
        <v>28</v>
      </c>
      <c r="H20" s="11" t="s">
        <v>40</v>
      </c>
      <c r="I20" s="10" t="s">
        <v>28</v>
      </c>
      <c r="J20" s="10" t="s">
        <v>17</v>
      </c>
      <c r="K20" s="5">
        <v>5719</v>
      </c>
      <c r="L20" s="5">
        <v>363</v>
      </c>
      <c r="M20" s="5">
        <v>55</v>
      </c>
      <c r="N20" s="5">
        <v>17490</v>
      </c>
      <c r="O20" s="5">
        <v>23.63</v>
      </c>
      <c r="P20" s="5">
        <v>0.37</v>
      </c>
      <c r="Q20" s="5">
        <v>0.5</v>
      </c>
      <c r="R20" s="10" t="s">
        <v>50</v>
      </c>
      <c r="S20" s="5" t="str">
        <f t="shared" si="0"/>
        <v>PASS</v>
      </c>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row>
    <row r="21" spans="1:51" s="12" customFormat="1" x14ac:dyDescent="0.25">
      <c r="A21" s="5">
        <v>18</v>
      </c>
      <c r="B21" s="10" t="s">
        <v>53</v>
      </c>
      <c r="C21" s="10" t="s">
        <v>62</v>
      </c>
      <c r="D21" s="5">
        <v>3</v>
      </c>
      <c r="E21" s="10" t="s">
        <v>26</v>
      </c>
      <c r="F21" s="10" t="s">
        <v>56</v>
      </c>
      <c r="G21" s="10" t="s">
        <v>28</v>
      </c>
      <c r="H21" s="11" t="s">
        <v>41</v>
      </c>
      <c r="I21" s="10" t="s">
        <v>28</v>
      </c>
      <c r="J21" s="10" t="s">
        <v>17</v>
      </c>
      <c r="K21" s="10">
        <v>1661</v>
      </c>
      <c r="L21" s="5">
        <v>371</v>
      </c>
      <c r="M21" s="5">
        <v>57</v>
      </c>
      <c r="N21" s="5">
        <v>17021</v>
      </c>
      <c r="O21" s="5">
        <v>19.149999999999999</v>
      </c>
      <c r="P21" s="5">
        <v>0.42299999999999999</v>
      </c>
      <c r="Q21" s="5">
        <v>0.5</v>
      </c>
      <c r="R21" s="5" t="s">
        <v>50</v>
      </c>
      <c r="S21" s="5" t="str">
        <f t="shared" si="0"/>
        <v>PASS</v>
      </c>
      <c r="T21" s="13"/>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row>
    <row r="22" spans="1:51" s="12" customFormat="1" x14ac:dyDescent="0.25">
      <c r="A22" s="5">
        <v>19</v>
      </c>
      <c r="B22" s="10" t="s">
        <v>53</v>
      </c>
      <c r="C22" s="10" t="s">
        <v>62</v>
      </c>
      <c r="D22" s="5">
        <v>4</v>
      </c>
      <c r="E22" s="10" t="s">
        <v>26</v>
      </c>
      <c r="F22" s="10" t="s">
        <v>56</v>
      </c>
      <c r="G22" s="10" t="s">
        <v>28</v>
      </c>
      <c r="H22" s="11" t="s">
        <v>42</v>
      </c>
      <c r="I22" s="10" t="s">
        <v>28</v>
      </c>
      <c r="J22" s="10" t="s">
        <v>17</v>
      </c>
      <c r="K22" s="5">
        <v>1677</v>
      </c>
      <c r="L22" s="5">
        <v>362</v>
      </c>
      <c r="M22" s="5">
        <v>54</v>
      </c>
      <c r="N22" s="5">
        <v>19307</v>
      </c>
      <c r="O22" s="5">
        <v>21.6</v>
      </c>
      <c r="P22" s="5">
        <v>0.28299999999999997</v>
      </c>
      <c r="Q22" s="5">
        <v>0.5</v>
      </c>
      <c r="R22" s="10" t="s">
        <v>50</v>
      </c>
      <c r="S22" s="5" t="str">
        <f t="shared" si="0"/>
        <v>PASS</v>
      </c>
      <c r="T22" s="13"/>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row>
    <row r="23" spans="1:51" s="12" customFormat="1" x14ac:dyDescent="0.25">
      <c r="A23" s="5">
        <v>20</v>
      </c>
      <c r="B23" s="10" t="s">
        <v>53</v>
      </c>
      <c r="C23" s="10" t="s">
        <v>62</v>
      </c>
      <c r="D23" s="5">
        <v>5</v>
      </c>
      <c r="E23" s="10" t="s">
        <v>26</v>
      </c>
      <c r="F23" s="10" t="s">
        <v>56</v>
      </c>
      <c r="G23" s="10" t="s">
        <v>28</v>
      </c>
      <c r="H23" s="11" t="s">
        <v>43</v>
      </c>
      <c r="I23" s="10" t="s">
        <v>28</v>
      </c>
      <c r="J23" s="10" t="s">
        <v>17</v>
      </c>
      <c r="K23" s="5">
        <v>3431</v>
      </c>
      <c r="L23" s="5">
        <v>362</v>
      </c>
      <c r="M23" s="5">
        <v>55</v>
      </c>
      <c r="N23" s="5">
        <v>18022</v>
      </c>
      <c r="O23" s="5">
        <v>22.07</v>
      </c>
      <c r="P23" s="5">
        <v>0.41299999999999998</v>
      </c>
      <c r="Q23" s="5">
        <v>0.5</v>
      </c>
      <c r="R23" s="5" t="s">
        <v>50</v>
      </c>
      <c r="S23" s="5" t="str">
        <f t="shared" si="0"/>
        <v>PASS</v>
      </c>
      <c r="T23" s="13"/>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row>
    <row r="24" spans="1:51" s="12" customFormat="1" x14ac:dyDescent="0.25">
      <c r="A24" s="5">
        <v>21</v>
      </c>
      <c r="B24" s="10" t="s">
        <v>53</v>
      </c>
      <c r="C24" s="10" t="s">
        <v>63</v>
      </c>
      <c r="D24" s="5">
        <v>1</v>
      </c>
      <c r="E24" s="10" t="s">
        <v>26</v>
      </c>
      <c r="F24" s="10" t="s">
        <v>56</v>
      </c>
      <c r="G24" s="10" t="s">
        <v>44</v>
      </c>
      <c r="H24" s="11" t="s">
        <v>45</v>
      </c>
      <c r="I24" s="10" t="s">
        <v>44</v>
      </c>
      <c r="J24" s="10" t="s">
        <v>17</v>
      </c>
      <c r="K24" s="10">
        <v>1696</v>
      </c>
      <c r="L24" s="5">
        <v>368</v>
      </c>
      <c r="M24" s="5">
        <v>57</v>
      </c>
      <c r="N24" s="5">
        <v>18609</v>
      </c>
      <c r="O24" s="5">
        <v>21.28</v>
      </c>
      <c r="P24" s="5">
        <v>1.1299999999999999</v>
      </c>
      <c r="Q24" s="5">
        <v>0.5</v>
      </c>
      <c r="R24" s="10" t="s">
        <v>50</v>
      </c>
      <c r="S24" s="5" t="str">
        <f t="shared" si="0"/>
        <v>FAIL</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spans="1:51" s="12" customFormat="1" x14ac:dyDescent="0.25">
      <c r="A25" s="5">
        <v>22</v>
      </c>
      <c r="B25" s="10" t="s">
        <v>53</v>
      </c>
      <c r="C25" s="10" t="s">
        <v>63</v>
      </c>
      <c r="D25" s="5">
        <v>2</v>
      </c>
      <c r="E25" s="10" t="s">
        <v>26</v>
      </c>
      <c r="F25" s="10" t="s">
        <v>56</v>
      </c>
      <c r="G25" s="10" t="s">
        <v>44</v>
      </c>
      <c r="H25" s="11" t="s">
        <v>46</v>
      </c>
      <c r="I25" s="10" t="s">
        <v>44</v>
      </c>
      <c r="J25" s="10" t="s">
        <v>17</v>
      </c>
      <c r="K25" s="5">
        <v>1785</v>
      </c>
      <c r="L25" s="5">
        <v>357</v>
      </c>
      <c r="M25" s="5">
        <v>53</v>
      </c>
      <c r="N25" s="5">
        <v>18742</v>
      </c>
      <c r="O25" s="5">
        <v>22.5</v>
      </c>
      <c r="P25" s="5">
        <v>0.89800000000000002</v>
      </c>
      <c r="Q25" s="5">
        <v>0.5</v>
      </c>
      <c r="R25" s="5" t="s">
        <v>50</v>
      </c>
      <c r="S25" s="5" t="str">
        <f t="shared" si="0"/>
        <v>FAIL</v>
      </c>
      <c r="T25" s="13"/>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spans="1:51" s="12" customFormat="1" x14ac:dyDescent="0.25">
      <c r="A26" s="5">
        <v>23</v>
      </c>
      <c r="B26" s="10" t="s">
        <v>53</v>
      </c>
      <c r="C26" s="10" t="s">
        <v>63</v>
      </c>
      <c r="D26" s="5">
        <v>3</v>
      </c>
      <c r="E26" s="10" t="s">
        <v>26</v>
      </c>
      <c r="F26" s="10" t="s">
        <v>56</v>
      </c>
      <c r="G26" s="10" t="s">
        <v>44</v>
      </c>
      <c r="H26" s="11" t="s">
        <v>47</v>
      </c>
      <c r="I26" s="10" t="s">
        <v>44</v>
      </c>
      <c r="J26" s="10" t="s">
        <v>17</v>
      </c>
      <c r="K26" s="5">
        <v>1633</v>
      </c>
      <c r="L26" s="5">
        <v>363</v>
      </c>
      <c r="M26" s="5">
        <v>56</v>
      </c>
      <c r="N26" s="5">
        <v>20418</v>
      </c>
      <c r="O26" s="5">
        <v>23.47</v>
      </c>
      <c r="P26" s="5">
        <v>1.1890000000000001</v>
      </c>
      <c r="Q26" s="5">
        <v>0.5</v>
      </c>
      <c r="R26" s="10" t="s">
        <v>50</v>
      </c>
      <c r="S26" s="5" t="str">
        <f t="shared" si="0"/>
        <v>FAIL</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spans="1:51" s="12" customFormat="1" x14ac:dyDescent="0.25">
      <c r="A27" s="5">
        <v>24</v>
      </c>
      <c r="B27" s="10" t="s">
        <v>53</v>
      </c>
      <c r="C27" s="10" t="s">
        <v>63</v>
      </c>
      <c r="D27" s="5">
        <v>4</v>
      </c>
      <c r="E27" s="10" t="s">
        <v>26</v>
      </c>
      <c r="F27" s="10" t="s">
        <v>56</v>
      </c>
      <c r="G27" s="10" t="s">
        <v>44</v>
      </c>
      <c r="H27" s="11" t="s">
        <v>48</v>
      </c>
      <c r="I27" s="10" t="s">
        <v>44</v>
      </c>
      <c r="J27" s="10" t="s">
        <v>17</v>
      </c>
      <c r="K27" s="5">
        <v>1671</v>
      </c>
      <c r="L27" s="5">
        <v>374</v>
      </c>
      <c r="M27" s="5">
        <v>59</v>
      </c>
      <c r="N27" s="5">
        <v>17046</v>
      </c>
      <c r="O27" s="5">
        <v>19.45</v>
      </c>
      <c r="P27" s="5">
        <v>1.026</v>
      </c>
      <c r="Q27" s="5">
        <v>0.5</v>
      </c>
      <c r="R27" s="5" t="s">
        <v>50</v>
      </c>
      <c r="S27" s="5" t="str">
        <f t="shared" si="0"/>
        <v>FAIL</v>
      </c>
      <c r="T27" s="13"/>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row r="28" spans="1:51" s="12" customFormat="1" x14ac:dyDescent="0.25">
      <c r="A28" s="5">
        <v>25</v>
      </c>
      <c r="B28" s="10" t="s">
        <v>53</v>
      </c>
      <c r="C28" s="10" t="s">
        <v>63</v>
      </c>
      <c r="D28" s="5">
        <v>5</v>
      </c>
      <c r="E28" s="10" t="s">
        <v>26</v>
      </c>
      <c r="F28" s="10" t="s">
        <v>56</v>
      </c>
      <c r="G28" s="10" t="s">
        <v>44</v>
      </c>
      <c r="H28" s="11" t="s">
        <v>49</v>
      </c>
      <c r="I28" s="10" t="s">
        <v>44</v>
      </c>
      <c r="J28" s="10" t="s">
        <v>17</v>
      </c>
      <c r="K28" s="5">
        <v>1690</v>
      </c>
      <c r="L28" s="5">
        <v>364</v>
      </c>
      <c r="M28" s="5">
        <v>57</v>
      </c>
      <c r="N28" s="5">
        <v>18959</v>
      </c>
      <c r="O28" s="5">
        <v>21.27</v>
      </c>
      <c r="P28" s="5">
        <v>0.82099999999999995</v>
      </c>
      <c r="Q28" s="5">
        <v>0.5</v>
      </c>
      <c r="R28" s="10" t="s">
        <v>50</v>
      </c>
      <c r="S28" s="5" t="str">
        <f t="shared" si="0"/>
        <v>FAIL</v>
      </c>
      <c r="T28" s="13"/>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row>
    <row r="29" spans="1:51" s="9" customFormat="1" x14ac:dyDescent="0.25">
      <c r="A29" s="6">
        <v>26</v>
      </c>
      <c r="B29" s="7" t="s">
        <v>53</v>
      </c>
      <c r="C29" s="7" t="s">
        <v>65</v>
      </c>
      <c r="D29" s="6">
        <v>1</v>
      </c>
      <c r="E29" s="7" t="s">
        <v>54</v>
      </c>
      <c r="F29" s="7" t="s">
        <v>58</v>
      </c>
      <c r="G29" s="7" t="s">
        <v>19</v>
      </c>
      <c r="H29" s="8" t="s">
        <v>20</v>
      </c>
      <c r="I29" s="7" t="s">
        <v>19</v>
      </c>
      <c r="J29" s="7" t="s">
        <v>17</v>
      </c>
      <c r="K29" s="7"/>
      <c r="L29" s="6"/>
      <c r="M29" s="6"/>
      <c r="N29" s="6"/>
      <c r="O29" s="6"/>
      <c r="P29" s="6"/>
      <c r="Q29" s="6">
        <v>0.5</v>
      </c>
      <c r="R29" s="7" t="s">
        <v>55</v>
      </c>
      <c r="S29" s="6" t="str">
        <f>IF(R29="Pending","Pending",IF(AND(R29="Success",P29&lt;=0.5),"PASS","FAIL"))</f>
        <v>Pending</v>
      </c>
      <c r="T29" s="8" t="s">
        <v>81</v>
      </c>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row>
    <row r="30" spans="1:51" s="12" customFormat="1" x14ac:dyDescent="0.25">
      <c r="A30" s="5">
        <v>27</v>
      </c>
      <c r="B30" s="10" t="s">
        <v>53</v>
      </c>
      <c r="C30" s="10" t="s">
        <v>65</v>
      </c>
      <c r="D30" s="5">
        <v>2</v>
      </c>
      <c r="E30" s="10" t="s">
        <v>54</v>
      </c>
      <c r="F30" s="10" t="s">
        <v>58</v>
      </c>
      <c r="G30" s="10" t="s">
        <v>19</v>
      </c>
      <c r="H30" s="11" t="s">
        <v>21</v>
      </c>
      <c r="I30" s="10" t="s">
        <v>19</v>
      </c>
      <c r="J30" s="10" t="s">
        <v>17</v>
      </c>
      <c r="K30" s="5"/>
      <c r="L30" s="5"/>
      <c r="M30" s="5"/>
      <c r="N30" s="5"/>
      <c r="O30" s="5"/>
      <c r="P30" s="5"/>
      <c r="Q30" s="5">
        <v>0.5</v>
      </c>
      <c r="R30" s="10" t="s">
        <v>55</v>
      </c>
      <c r="S30" s="5" t="str">
        <f t="shared" ref="S30:S53" si="1">IF(R30="Pending","Pending",IF(AND(R30="Success",P30&lt;=0.5),"PASS","FAIL"))</f>
        <v>Pending</v>
      </c>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row>
    <row r="31" spans="1:51" s="12" customFormat="1" x14ac:dyDescent="0.25">
      <c r="A31" s="5">
        <v>28</v>
      </c>
      <c r="B31" s="10" t="s">
        <v>53</v>
      </c>
      <c r="C31" s="10" t="s">
        <v>65</v>
      </c>
      <c r="D31" s="5">
        <v>3</v>
      </c>
      <c r="E31" s="10" t="s">
        <v>54</v>
      </c>
      <c r="F31" s="10" t="s">
        <v>58</v>
      </c>
      <c r="G31" s="10" t="s">
        <v>19</v>
      </c>
      <c r="H31" s="11" t="s">
        <v>22</v>
      </c>
      <c r="I31" s="10" t="s">
        <v>19</v>
      </c>
      <c r="J31" s="10" t="s">
        <v>17</v>
      </c>
      <c r="K31" s="5"/>
      <c r="L31" s="5"/>
      <c r="M31" s="5"/>
      <c r="N31" s="5"/>
      <c r="O31" s="5"/>
      <c r="P31" s="5"/>
      <c r="Q31" s="5">
        <v>0.5</v>
      </c>
      <c r="R31" s="10" t="s">
        <v>55</v>
      </c>
      <c r="S31" s="5" t="str">
        <f t="shared" si="1"/>
        <v>Pending</v>
      </c>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row>
    <row r="32" spans="1:51" s="12" customFormat="1" x14ac:dyDescent="0.25">
      <c r="A32" s="5">
        <v>29</v>
      </c>
      <c r="B32" s="10" t="s">
        <v>53</v>
      </c>
      <c r="C32" s="10" t="s">
        <v>65</v>
      </c>
      <c r="D32" s="5">
        <v>4</v>
      </c>
      <c r="E32" s="10" t="s">
        <v>54</v>
      </c>
      <c r="F32" s="10" t="s">
        <v>58</v>
      </c>
      <c r="G32" s="10" t="s">
        <v>19</v>
      </c>
      <c r="H32" s="11" t="s">
        <v>23</v>
      </c>
      <c r="I32" s="10" t="s">
        <v>19</v>
      </c>
      <c r="J32" s="10" t="s">
        <v>17</v>
      </c>
      <c r="K32" s="5"/>
      <c r="L32" s="5"/>
      <c r="M32" s="5"/>
      <c r="N32" s="5"/>
      <c r="O32" s="5"/>
      <c r="P32" s="5"/>
      <c r="Q32" s="5">
        <v>0.5</v>
      </c>
      <c r="R32" s="10" t="s">
        <v>55</v>
      </c>
      <c r="S32" s="5" t="str">
        <f t="shared" si="1"/>
        <v>Pending</v>
      </c>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row>
    <row r="33" spans="1:51" s="12" customFormat="1" x14ac:dyDescent="0.25">
      <c r="A33" s="5">
        <v>30</v>
      </c>
      <c r="B33" s="10" t="s">
        <v>53</v>
      </c>
      <c r="C33" s="10" t="s">
        <v>65</v>
      </c>
      <c r="D33" s="5">
        <v>5</v>
      </c>
      <c r="E33" s="10" t="s">
        <v>54</v>
      </c>
      <c r="F33" s="10" t="s">
        <v>58</v>
      </c>
      <c r="G33" s="10" t="s">
        <v>19</v>
      </c>
      <c r="H33" s="11" t="s">
        <v>24</v>
      </c>
      <c r="I33" s="10" t="s">
        <v>19</v>
      </c>
      <c r="J33" s="10" t="s">
        <v>17</v>
      </c>
      <c r="K33" s="5"/>
      <c r="L33" s="5"/>
      <c r="M33" s="5"/>
      <c r="N33" s="5"/>
      <c r="O33" s="5"/>
      <c r="P33" s="5"/>
      <c r="Q33" s="5">
        <v>0.5</v>
      </c>
      <c r="R33" s="10" t="s">
        <v>55</v>
      </c>
      <c r="S33" s="5" t="str">
        <f t="shared" si="1"/>
        <v>Pending</v>
      </c>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row>
    <row r="34" spans="1:51" s="12" customFormat="1" x14ac:dyDescent="0.25">
      <c r="A34" s="5">
        <v>31</v>
      </c>
      <c r="B34" s="10" t="s">
        <v>53</v>
      </c>
      <c r="C34" s="10" t="s">
        <v>67</v>
      </c>
      <c r="D34" s="5">
        <v>1</v>
      </c>
      <c r="E34" s="10" t="s">
        <v>54</v>
      </c>
      <c r="F34" s="10" t="s">
        <v>58</v>
      </c>
      <c r="G34" s="10" t="s">
        <v>27</v>
      </c>
      <c r="H34" s="11" t="s">
        <v>34</v>
      </c>
      <c r="I34" s="10" t="s">
        <v>27</v>
      </c>
      <c r="J34" s="10" t="s">
        <v>17</v>
      </c>
      <c r="K34" s="5"/>
      <c r="L34" s="5"/>
      <c r="M34" s="5"/>
      <c r="N34" s="5"/>
      <c r="O34" s="5"/>
      <c r="P34" s="5"/>
      <c r="Q34" s="5">
        <v>0.5</v>
      </c>
      <c r="R34" s="10" t="s">
        <v>55</v>
      </c>
      <c r="S34" s="5" t="str">
        <f t="shared" si="1"/>
        <v>Pending</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row>
    <row r="35" spans="1:51" s="12" customFormat="1" x14ac:dyDescent="0.25">
      <c r="A35" s="5">
        <v>32</v>
      </c>
      <c r="B35" s="10" t="s">
        <v>53</v>
      </c>
      <c r="C35" s="10" t="s">
        <v>67</v>
      </c>
      <c r="D35" s="5">
        <v>2</v>
      </c>
      <c r="E35" s="10" t="s">
        <v>54</v>
      </c>
      <c r="F35" s="10" t="s">
        <v>58</v>
      </c>
      <c r="G35" s="10" t="s">
        <v>27</v>
      </c>
      <c r="H35" s="11" t="s">
        <v>35</v>
      </c>
      <c r="I35" s="10" t="s">
        <v>27</v>
      </c>
      <c r="J35" s="10" t="s">
        <v>17</v>
      </c>
      <c r="K35" s="5"/>
      <c r="L35" s="5"/>
      <c r="M35" s="5"/>
      <c r="N35" s="5"/>
      <c r="O35" s="5"/>
      <c r="P35" s="5"/>
      <c r="Q35" s="5">
        <v>0.5</v>
      </c>
      <c r="R35" s="10" t="s">
        <v>55</v>
      </c>
      <c r="S35" s="5" t="str">
        <f t="shared" si="1"/>
        <v>Pending</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row>
    <row r="36" spans="1:51" s="12" customFormat="1" x14ac:dyDescent="0.25">
      <c r="A36" s="5">
        <v>33</v>
      </c>
      <c r="B36" s="10" t="s">
        <v>53</v>
      </c>
      <c r="C36" s="10" t="s">
        <v>67</v>
      </c>
      <c r="D36" s="5">
        <v>3</v>
      </c>
      <c r="E36" s="10" t="s">
        <v>54</v>
      </c>
      <c r="F36" s="10" t="s">
        <v>58</v>
      </c>
      <c r="G36" s="10" t="s">
        <v>27</v>
      </c>
      <c r="H36" s="11" t="s">
        <v>36</v>
      </c>
      <c r="I36" s="10" t="s">
        <v>27</v>
      </c>
      <c r="J36" s="10" t="s">
        <v>17</v>
      </c>
      <c r="K36" s="5"/>
      <c r="L36" s="5"/>
      <c r="M36" s="5"/>
      <c r="N36" s="5"/>
      <c r="O36" s="5"/>
      <c r="P36" s="5"/>
      <c r="Q36" s="5">
        <v>0.5</v>
      </c>
      <c r="R36" s="10" t="s">
        <v>55</v>
      </c>
      <c r="S36" s="5" t="str">
        <f t="shared" si="1"/>
        <v>Pending</v>
      </c>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row>
    <row r="37" spans="1:51" s="12" customFormat="1" x14ac:dyDescent="0.25">
      <c r="A37" s="5">
        <v>34</v>
      </c>
      <c r="B37" s="10" t="s">
        <v>53</v>
      </c>
      <c r="C37" s="10" t="s">
        <v>67</v>
      </c>
      <c r="D37" s="5">
        <v>4</v>
      </c>
      <c r="E37" s="10" t="s">
        <v>54</v>
      </c>
      <c r="F37" s="10" t="s">
        <v>58</v>
      </c>
      <c r="G37" s="10" t="s">
        <v>27</v>
      </c>
      <c r="H37" s="11" t="s">
        <v>37</v>
      </c>
      <c r="I37" s="10" t="s">
        <v>27</v>
      </c>
      <c r="J37" s="10" t="s">
        <v>17</v>
      </c>
      <c r="K37" s="5"/>
      <c r="L37" s="5"/>
      <c r="M37" s="5"/>
      <c r="N37" s="5"/>
      <c r="O37" s="5"/>
      <c r="P37" s="5"/>
      <c r="Q37" s="5">
        <v>0.5</v>
      </c>
      <c r="R37" s="10" t="s">
        <v>55</v>
      </c>
      <c r="S37" s="5" t="str">
        <f t="shared" si="1"/>
        <v>Pending</v>
      </c>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row>
    <row r="38" spans="1:51" s="12" customFormat="1" x14ac:dyDescent="0.25">
      <c r="A38" s="5">
        <v>35</v>
      </c>
      <c r="B38" s="10" t="s">
        <v>53</v>
      </c>
      <c r="C38" s="10" t="s">
        <v>67</v>
      </c>
      <c r="D38" s="5">
        <v>5</v>
      </c>
      <c r="E38" s="10" t="s">
        <v>54</v>
      </c>
      <c r="F38" s="10" t="s">
        <v>58</v>
      </c>
      <c r="G38" s="10" t="s">
        <v>27</v>
      </c>
      <c r="H38" s="11" t="s">
        <v>38</v>
      </c>
      <c r="I38" s="10" t="s">
        <v>27</v>
      </c>
      <c r="J38" s="10" t="s">
        <v>17</v>
      </c>
      <c r="K38" s="5"/>
      <c r="L38" s="5"/>
      <c r="M38" s="5"/>
      <c r="N38" s="5"/>
      <c r="O38" s="5"/>
      <c r="P38" s="5"/>
      <c r="Q38" s="5">
        <v>0.5</v>
      </c>
      <c r="R38" s="10" t="s">
        <v>55</v>
      </c>
      <c r="S38" s="5" t="str">
        <f t="shared" si="1"/>
        <v>Pending</v>
      </c>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row>
    <row r="39" spans="1:51" s="12" customFormat="1" ht="13" customHeight="1" x14ac:dyDescent="0.25">
      <c r="A39" s="5">
        <v>36</v>
      </c>
      <c r="B39" s="10" t="s">
        <v>53</v>
      </c>
      <c r="C39" s="10" t="s">
        <v>66</v>
      </c>
      <c r="D39" s="5">
        <v>1</v>
      </c>
      <c r="E39" s="10" t="s">
        <v>54</v>
      </c>
      <c r="F39" s="10" t="s">
        <v>58</v>
      </c>
      <c r="G39" s="10" t="s">
        <v>25</v>
      </c>
      <c r="H39" s="11" t="s">
        <v>29</v>
      </c>
      <c r="I39" s="10" t="s">
        <v>25</v>
      </c>
      <c r="J39" s="10" t="s">
        <v>17</v>
      </c>
      <c r="K39" s="5"/>
      <c r="L39" s="5"/>
      <c r="M39" s="5"/>
      <c r="N39" s="5"/>
      <c r="O39" s="5"/>
      <c r="P39" s="5"/>
      <c r="Q39" s="5">
        <v>0.5</v>
      </c>
      <c r="R39" s="10" t="s">
        <v>55</v>
      </c>
      <c r="S39" s="5" t="str">
        <f t="shared" si="1"/>
        <v>Pending</v>
      </c>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row>
    <row r="40" spans="1:51" s="12" customFormat="1" x14ac:dyDescent="0.25">
      <c r="A40" s="5">
        <v>37</v>
      </c>
      <c r="B40" s="10" t="s">
        <v>53</v>
      </c>
      <c r="C40" s="10" t="s">
        <v>66</v>
      </c>
      <c r="D40" s="5">
        <v>2</v>
      </c>
      <c r="E40" s="10" t="s">
        <v>54</v>
      </c>
      <c r="F40" s="10" t="s">
        <v>58</v>
      </c>
      <c r="G40" s="10" t="s">
        <v>25</v>
      </c>
      <c r="H40" s="11" t="s">
        <v>30</v>
      </c>
      <c r="I40" s="10" t="s">
        <v>25</v>
      </c>
      <c r="J40" s="10" t="s">
        <v>17</v>
      </c>
      <c r="K40" s="5"/>
      <c r="L40" s="5"/>
      <c r="M40" s="5"/>
      <c r="N40" s="5"/>
      <c r="O40" s="5"/>
      <c r="P40" s="5"/>
      <c r="Q40" s="5">
        <v>0.5</v>
      </c>
      <c r="R40" s="10" t="s">
        <v>55</v>
      </c>
      <c r="S40" s="5" t="str">
        <f t="shared" si="1"/>
        <v>Pending</v>
      </c>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row>
    <row r="41" spans="1:51" s="12" customFormat="1" x14ac:dyDescent="0.25">
      <c r="A41" s="5">
        <v>38</v>
      </c>
      <c r="B41" s="10" t="s">
        <v>53</v>
      </c>
      <c r="C41" s="10" t="s">
        <v>66</v>
      </c>
      <c r="D41" s="5">
        <v>3</v>
      </c>
      <c r="E41" s="10" t="s">
        <v>54</v>
      </c>
      <c r="F41" s="10" t="s">
        <v>58</v>
      </c>
      <c r="G41" s="10" t="s">
        <v>25</v>
      </c>
      <c r="H41" s="11" t="s">
        <v>31</v>
      </c>
      <c r="I41" s="10" t="s">
        <v>25</v>
      </c>
      <c r="J41" s="10" t="s">
        <v>17</v>
      </c>
      <c r="K41" s="5"/>
      <c r="L41" s="5"/>
      <c r="M41" s="5"/>
      <c r="N41" s="5"/>
      <c r="O41" s="5"/>
      <c r="P41" s="5"/>
      <c r="Q41" s="5">
        <v>0.5</v>
      </c>
      <c r="R41" s="10" t="s">
        <v>55</v>
      </c>
      <c r="S41" s="5" t="str">
        <f t="shared" si="1"/>
        <v>Pending</v>
      </c>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row>
    <row r="42" spans="1:51" s="12" customFormat="1" x14ac:dyDescent="0.25">
      <c r="A42" s="5">
        <v>39</v>
      </c>
      <c r="B42" s="10" t="s">
        <v>53</v>
      </c>
      <c r="C42" s="10" t="s">
        <v>66</v>
      </c>
      <c r="D42" s="5">
        <v>4</v>
      </c>
      <c r="E42" s="10" t="s">
        <v>54</v>
      </c>
      <c r="F42" s="10" t="s">
        <v>58</v>
      </c>
      <c r="G42" s="10" t="s">
        <v>25</v>
      </c>
      <c r="H42" s="11" t="s">
        <v>32</v>
      </c>
      <c r="I42" s="10" t="s">
        <v>25</v>
      </c>
      <c r="J42" s="10" t="s">
        <v>17</v>
      </c>
      <c r="K42" s="5"/>
      <c r="L42" s="5"/>
      <c r="M42" s="5"/>
      <c r="N42" s="5"/>
      <c r="O42" s="5"/>
      <c r="P42" s="5"/>
      <c r="Q42" s="5">
        <v>0.5</v>
      </c>
      <c r="R42" s="10" t="s">
        <v>55</v>
      </c>
      <c r="S42" s="5" t="str">
        <f t="shared" si="1"/>
        <v>Pending</v>
      </c>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row>
    <row r="43" spans="1:51" s="12" customFormat="1" x14ac:dyDescent="0.25">
      <c r="A43" s="5">
        <v>40</v>
      </c>
      <c r="B43" s="10" t="s">
        <v>53</v>
      </c>
      <c r="C43" s="10" t="s">
        <v>66</v>
      </c>
      <c r="D43" s="5">
        <v>5</v>
      </c>
      <c r="E43" s="10" t="s">
        <v>54</v>
      </c>
      <c r="F43" s="10" t="s">
        <v>58</v>
      </c>
      <c r="G43" s="10" t="s">
        <v>25</v>
      </c>
      <c r="H43" s="11" t="s">
        <v>33</v>
      </c>
      <c r="I43" s="10" t="s">
        <v>25</v>
      </c>
      <c r="J43" s="10" t="s">
        <v>17</v>
      </c>
      <c r="K43" s="5"/>
      <c r="L43" s="5"/>
      <c r="M43" s="5"/>
      <c r="N43" s="5"/>
      <c r="O43" s="5"/>
      <c r="P43" s="5"/>
      <c r="Q43" s="5">
        <v>0.5</v>
      </c>
      <c r="R43" s="10" t="s">
        <v>55</v>
      </c>
      <c r="S43" s="5" t="str">
        <f t="shared" si="1"/>
        <v>Pending</v>
      </c>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row>
    <row r="44" spans="1:51" s="12" customFormat="1" x14ac:dyDescent="0.25">
      <c r="A44" s="5">
        <v>41</v>
      </c>
      <c r="B44" s="10" t="s">
        <v>53</v>
      </c>
      <c r="C44" s="10" t="s">
        <v>68</v>
      </c>
      <c r="D44" s="5">
        <v>1</v>
      </c>
      <c r="E44" s="10" t="s">
        <v>54</v>
      </c>
      <c r="F44" s="10" t="s">
        <v>58</v>
      </c>
      <c r="G44" s="10" t="s">
        <v>28</v>
      </c>
      <c r="H44" s="11" t="s">
        <v>39</v>
      </c>
      <c r="I44" s="10" t="s">
        <v>28</v>
      </c>
      <c r="J44" s="10" t="s">
        <v>17</v>
      </c>
      <c r="K44" s="5"/>
      <c r="L44" s="5"/>
      <c r="M44" s="5"/>
      <c r="N44" s="5"/>
      <c r="O44" s="5"/>
      <c r="P44" s="5"/>
      <c r="Q44" s="5">
        <v>0.5</v>
      </c>
      <c r="R44" s="10" t="s">
        <v>55</v>
      </c>
      <c r="S44" s="5" t="str">
        <f t="shared" si="1"/>
        <v>Pending</v>
      </c>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row>
    <row r="45" spans="1:51" s="12" customFormat="1" x14ac:dyDescent="0.25">
      <c r="A45" s="5">
        <v>42</v>
      </c>
      <c r="B45" s="10" t="s">
        <v>53</v>
      </c>
      <c r="C45" s="10" t="s">
        <v>68</v>
      </c>
      <c r="D45" s="5">
        <v>2</v>
      </c>
      <c r="E45" s="10" t="s">
        <v>54</v>
      </c>
      <c r="F45" s="10" t="s">
        <v>58</v>
      </c>
      <c r="G45" s="10" t="s">
        <v>28</v>
      </c>
      <c r="H45" s="11" t="s">
        <v>40</v>
      </c>
      <c r="I45" s="10" t="s">
        <v>28</v>
      </c>
      <c r="J45" s="10" t="s">
        <v>17</v>
      </c>
      <c r="K45" s="5"/>
      <c r="L45" s="5"/>
      <c r="M45" s="5"/>
      <c r="N45" s="5"/>
      <c r="O45" s="5"/>
      <c r="P45" s="5"/>
      <c r="Q45" s="5">
        <v>0.5</v>
      </c>
      <c r="R45" s="10" t="s">
        <v>55</v>
      </c>
      <c r="S45" s="5" t="str">
        <f t="shared" si="1"/>
        <v>Pending</v>
      </c>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row>
    <row r="46" spans="1:51" s="12" customFormat="1" x14ac:dyDescent="0.25">
      <c r="A46" s="5">
        <v>43</v>
      </c>
      <c r="B46" s="10" t="s">
        <v>53</v>
      </c>
      <c r="C46" s="10" t="s">
        <v>68</v>
      </c>
      <c r="D46" s="5">
        <v>3</v>
      </c>
      <c r="E46" s="10" t="s">
        <v>54</v>
      </c>
      <c r="F46" s="10" t="s">
        <v>58</v>
      </c>
      <c r="G46" s="10" t="s">
        <v>28</v>
      </c>
      <c r="H46" s="11" t="s">
        <v>41</v>
      </c>
      <c r="I46" s="10" t="s">
        <v>28</v>
      </c>
      <c r="J46" s="10" t="s">
        <v>17</v>
      </c>
      <c r="K46" s="10"/>
      <c r="L46" s="5"/>
      <c r="M46" s="5"/>
      <c r="N46" s="5"/>
      <c r="O46" s="5"/>
      <c r="P46" s="5"/>
      <c r="Q46" s="5">
        <v>0.5</v>
      </c>
      <c r="R46" s="10" t="s">
        <v>55</v>
      </c>
      <c r="S46" s="5" t="str">
        <f t="shared" si="1"/>
        <v>Pending</v>
      </c>
      <c r="T46" s="13"/>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row>
    <row r="47" spans="1:51" s="12" customFormat="1" x14ac:dyDescent="0.25">
      <c r="A47" s="5">
        <v>44</v>
      </c>
      <c r="B47" s="10" t="s">
        <v>53</v>
      </c>
      <c r="C47" s="10" t="s">
        <v>68</v>
      </c>
      <c r="D47" s="5">
        <v>4</v>
      </c>
      <c r="E47" s="10" t="s">
        <v>54</v>
      </c>
      <c r="F47" s="10" t="s">
        <v>58</v>
      </c>
      <c r="G47" s="10" t="s">
        <v>28</v>
      </c>
      <c r="H47" s="11" t="s">
        <v>42</v>
      </c>
      <c r="I47" s="10" t="s">
        <v>28</v>
      </c>
      <c r="J47" s="10" t="s">
        <v>17</v>
      </c>
      <c r="K47" s="5"/>
      <c r="L47" s="5"/>
      <c r="M47" s="5"/>
      <c r="N47" s="5"/>
      <c r="O47" s="5"/>
      <c r="P47" s="5"/>
      <c r="Q47" s="5">
        <v>0.5</v>
      </c>
      <c r="R47" s="10" t="s">
        <v>55</v>
      </c>
      <c r="S47" s="5" t="str">
        <f t="shared" si="1"/>
        <v>Pending</v>
      </c>
      <c r="T47" s="13"/>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row>
    <row r="48" spans="1:51" s="12" customFormat="1" x14ac:dyDescent="0.25">
      <c r="A48" s="5">
        <v>45</v>
      </c>
      <c r="B48" s="10" t="s">
        <v>53</v>
      </c>
      <c r="C48" s="10" t="s">
        <v>68</v>
      </c>
      <c r="D48" s="5">
        <v>5</v>
      </c>
      <c r="E48" s="10" t="s">
        <v>54</v>
      </c>
      <c r="F48" s="10" t="s">
        <v>58</v>
      </c>
      <c r="G48" s="10" t="s">
        <v>28</v>
      </c>
      <c r="H48" s="11" t="s">
        <v>43</v>
      </c>
      <c r="I48" s="10" t="s">
        <v>28</v>
      </c>
      <c r="J48" s="10" t="s">
        <v>17</v>
      </c>
      <c r="K48" s="5"/>
      <c r="L48" s="5"/>
      <c r="M48" s="5"/>
      <c r="N48" s="5"/>
      <c r="O48" s="5"/>
      <c r="P48" s="5"/>
      <c r="Q48" s="5">
        <v>0.5</v>
      </c>
      <c r="R48" s="10" t="s">
        <v>55</v>
      </c>
      <c r="S48" s="5" t="str">
        <f t="shared" si="1"/>
        <v>Pending</v>
      </c>
      <c r="T48" s="13"/>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row>
    <row r="49" spans="1:51" s="12" customFormat="1" x14ac:dyDescent="0.25">
      <c r="A49" s="5">
        <v>46</v>
      </c>
      <c r="B49" s="10" t="s">
        <v>53</v>
      </c>
      <c r="C49" s="10" t="s">
        <v>64</v>
      </c>
      <c r="D49" s="5">
        <v>1</v>
      </c>
      <c r="E49" s="10" t="s">
        <v>54</v>
      </c>
      <c r="F49" s="10" t="s">
        <v>58</v>
      </c>
      <c r="G49" s="10" t="s">
        <v>44</v>
      </c>
      <c r="H49" s="11" t="s">
        <v>45</v>
      </c>
      <c r="I49" s="10" t="s">
        <v>44</v>
      </c>
      <c r="J49" s="10" t="s">
        <v>17</v>
      </c>
      <c r="K49" s="10"/>
      <c r="L49" s="5"/>
      <c r="M49" s="5"/>
      <c r="N49" s="5"/>
      <c r="O49" s="5"/>
      <c r="P49" s="5"/>
      <c r="Q49" s="5">
        <v>0.5</v>
      </c>
      <c r="R49" s="10" t="s">
        <v>55</v>
      </c>
      <c r="S49" s="5" t="str">
        <f t="shared" si="1"/>
        <v>Pending</v>
      </c>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row>
    <row r="50" spans="1:51" s="12" customFormat="1" x14ac:dyDescent="0.25">
      <c r="A50" s="5">
        <v>47</v>
      </c>
      <c r="B50" s="10" t="s">
        <v>53</v>
      </c>
      <c r="C50" s="10" t="s">
        <v>64</v>
      </c>
      <c r="D50" s="5">
        <v>2</v>
      </c>
      <c r="E50" s="10" t="s">
        <v>54</v>
      </c>
      <c r="F50" s="10" t="s">
        <v>58</v>
      </c>
      <c r="G50" s="10" t="s">
        <v>44</v>
      </c>
      <c r="H50" s="11" t="s">
        <v>46</v>
      </c>
      <c r="I50" s="10" t="s">
        <v>44</v>
      </c>
      <c r="J50" s="10" t="s">
        <v>17</v>
      </c>
      <c r="K50" s="5"/>
      <c r="L50" s="5"/>
      <c r="M50" s="5"/>
      <c r="N50" s="5"/>
      <c r="O50" s="5"/>
      <c r="P50" s="5"/>
      <c r="Q50" s="5">
        <v>0.5</v>
      </c>
      <c r="R50" s="10" t="s">
        <v>55</v>
      </c>
      <c r="S50" s="5" t="str">
        <f t="shared" si="1"/>
        <v>Pending</v>
      </c>
      <c r="T50" s="13"/>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row>
    <row r="51" spans="1:51" s="12" customFormat="1" x14ac:dyDescent="0.25">
      <c r="A51" s="5">
        <v>48</v>
      </c>
      <c r="B51" s="10" t="s">
        <v>53</v>
      </c>
      <c r="C51" s="10" t="s">
        <v>64</v>
      </c>
      <c r="D51" s="5">
        <v>3</v>
      </c>
      <c r="E51" s="10" t="s">
        <v>54</v>
      </c>
      <c r="F51" s="10" t="s">
        <v>58</v>
      </c>
      <c r="G51" s="10" t="s">
        <v>44</v>
      </c>
      <c r="H51" s="11" t="s">
        <v>47</v>
      </c>
      <c r="I51" s="10" t="s">
        <v>44</v>
      </c>
      <c r="J51" s="10" t="s">
        <v>17</v>
      </c>
      <c r="K51" s="5"/>
      <c r="L51" s="5"/>
      <c r="M51" s="5"/>
      <c r="N51" s="5"/>
      <c r="O51" s="5"/>
      <c r="P51" s="5"/>
      <c r="Q51" s="5">
        <v>0.5</v>
      </c>
      <c r="R51" s="10" t="s">
        <v>55</v>
      </c>
      <c r="S51" s="5" t="str">
        <f t="shared" si="1"/>
        <v>Pending</v>
      </c>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spans="1:51" s="12" customFormat="1" x14ac:dyDescent="0.25">
      <c r="A52" s="5">
        <v>49</v>
      </c>
      <c r="B52" s="10" t="s">
        <v>53</v>
      </c>
      <c r="C52" s="10" t="s">
        <v>64</v>
      </c>
      <c r="D52" s="5">
        <v>4</v>
      </c>
      <c r="E52" s="10" t="s">
        <v>54</v>
      </c>
      <c r="F52" s="10" t="s">
        <v>58</v>
      </c>
      <c r="G52" s="10" t="s">
        <v>44</v>
      </c>
      <c r="H52" s="11" t="s">
        <v>48</v>
      </c>
      <c r="I52" s="10" t="s">
        <v>44</v>
      </c>
      <c r="J52" s="10" t="s">
        <v>17</v>
      </c>
      <c r="K52" s="5"/>
      <c r="L52" s="5"/>
      <c r="M52" s="5"/>
      <c r="N52" s="5"/>
      <c r="O52" s="5"/>
      <c r="P52" s="5"/>
      <c r="Q52" s="5">
        <v>0.5</v>
      </c>
      <c r="R52" s="10" t="s">
        <v>55</v>
      </c>
      <c r="S52" s="5" t="str">
        <f t="shared" si="1"/>
        <v>Pending</v>
      </c>
      <c r="T52" s="13"/>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row>
    <row r="53" spans="1:51" s="12" customFormat="1" x14ac:dyDescent="0.25">
      <c r="A53" s="5">
        <v>50</v>
      </c>
      <c r="B53" s="10" t="s">
        <v>53</v>
      </c>
      <c r="C53" s="10" t="s">
        <v>64</v>
      </c>
      <c r="D53" s="5">
        <v>5</v>
      </c>
      <c r="E53" s="10" t="s">
        <v>54</v>
      </c>
      <c r="F53" s="10" t="s">
        <v>58</v>
      </c>
      <c r="G53" s="10" t="s">
        <v>44</v>
      </c>
      <c r="H53" s="11" t="s">
        <v>49</v>
      </c>
      <c r="I53" s="10" t="s">
        <v>44</v>
      </c>
      <c r="J53" s="10" t="s">
        <v>17</v>
      </c>
      <c r="K53" s="5"/>
      <c r="L53" s="5"/>
      <c r="M53" s="5"/>
      <c r="N53" s="5"/>
      <c r="O53" s="5"/>
      <c r="P53" s="5"/>
      <c r="Q53" s="5">
        <v>0.5</v>
      </c>
      <c r="R53" s="10" t="s">
        <v>55</v>
      </c>
      <c r="S53" s="5" t="str">
        <f t="shared" si="1"/>
        <v>Pending</v>
      </c>
      <c r="T53" s="13"/>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spans="1:51" x14ac:dyDescent="0.25">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spans="1:51" x14ac:dyDescent="0.25">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spans="1:51" x14ac:dyDescent="0.25">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1" x14ac:dyDescent="0.25">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1" x14ac:dyDescent="0.25">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spans="1:51" x14ac:dyDescent="0.25">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spans="1:51" x14ac:dyDescent="0.25">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row>
    <row r="61" spans="1:51" x14ac:dyDescent="0.25">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row>
    <row r="62" spans="1:51" x14ac:dyDescent="0.25">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row>
    <row r="63" spans="1:51" x14ac:dyDescent="0.25">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row>
    <row r="64" spans="1:51" x14ac:dyDescent="0.25">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row>
    <row r="65" spans="21:51" x14ac:dyDescent="0.25">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row>
    <row r="66" spans="21:51" x14ac:dyDescent="0.25">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row>
    <row r="67" spans="21:51" x14ac:dyDescent="0.25">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row>
    <row r="68" spans="21:51" x14ac:dyDescent="0.25">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row>
    <row r="69" spans="21:51" x14ac:dyDescent="0.25">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row>
    <row r="70" spans="21:51" x14ac:dyDescent="0.25">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row>
    <row r="71" spans="21:51" x14ac:dyDescent="0.25">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row>
    <row r="72" spans="21:51" x14ac:dyDescent="0.25">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row>
    <row r="73" spans="21:51" x14ac:dyDescent="0.25">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row>
    <row r="74" spans="21:51" x14ac:dyDescent="0.25">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row>
    <row r="75" spans="21:51" x14ac:dyDescent="0.25">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row>
    <row r="76" spans="21:51" x14ac:dyDescent="0.25">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row>
    <row r="77" spans="21:51" x14ac:dyDescent="0.25">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21:51" x14ac:dyDescent="0.25">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21:51" x14ac:dyDescent="0.25">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row>
    <row r="80" spans="21:51" x14ac:dyDescent="0.25">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spans="21:51" x14ac:dyDescent="0.25">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row>
    <row r="82" spans="21:51" x14ac:dyDescent="0.25">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row>
    <row r="83" spans="21:51" x14ac:dyDescent="0.25">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row>
    <row r="84" spans="21:51" x14ac:dyDescent="0.25">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spans="21:51" x14ac:dyDescent="0.25">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spans="21:51" x14ac:dyDescent="0.25">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21:51" x14ac:dyDescent="0.25">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spans="21:51" x14ac:dyDescent="0.25">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spans="21:51" x14ac:dyDescent="0.25">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spans="21:51" x14ac:dyDescent="0.25">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spans="21:51" x14ac:dyDescent="0.25">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21:51" x14ac:dyDescent="0.25">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21:51" x14ac:dyDescent="0.25">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21:51" x14ac:dyDescent="0.25">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21:51" x14ac:dyDescent="0.25">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21:51" x14ac:dyDescent="0.25">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21:51" x14ac:dyDescent="0.25">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21:51" x14ac:dyDescent="0.25">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21:51" x14ac:dyDescent="0.25">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21:51" x14ac:dyDescent="0.25">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21:51" x14ac:dyDescent="0.25">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21:51" x14ac:dyDescent="0.25">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21:51" x14ac:dyDescent="0.25">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21:51" x14ac:dyDescent="0.25">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21:51" x14ac:dyDescent="0.25">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21:51" x14ac:dyDescent="0.25">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21:51" x14ac:dyDescent="0.25">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21:51" x14ac:dyDescent="0.25">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21:51" x14ac:dyDescent="0.25">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21:51" x14ac:dyDescent="0.25">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21:51" x14ac:dyDescent="0.25">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21:51" x14ac:dyDescent="0.25">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21:51" x14ac:dyDescent="0.25">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21:51" x14ac:dyDescent="0.25">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21:51" x14ac:dyDescent="0.25">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21:51" x14ac:dyDescent="0.25">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21:51" x14ac:dyDescent="0.25">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21:51" x14ac:dyDescent="0.25">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21:51" x14ac:dyDescent="0.25">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21:51" x14ac:dyDescent="0.25">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21:51" x14ac:dyDescent="0.25">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21:51" x14ac:dyDescent="0.25">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21:51" x14ac:dyDescent="0.25">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21:51" x14ac:dyDescent="0.25">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21:51" x14ac:dyDescent="0.25">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21:51" x14ac:dyDescent="0.25">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21:51" x14ac:dyDescent="0.25">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21:51" x14ac:dyDescent="0.25">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21:51" x14ac:dyDescent="0.25">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21:51" x14ac:dyDescent="0.25">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21:51" x14ac:dyDescent="0.25">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21:51" x14ac:dyDescent="0.25">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21:51" x14ac:dyDescent="0.25">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21:51" x14ac:dyDescent="0.25">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21:51" x14ac:dyDescent="0.25">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21:51" x14ac:dyDescent="0.25">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21:51" x14ac:dyDescent="0.25">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21:51" x14ac:dyDescent="0.25">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21:51" x14ac:dyDescent="0.25">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21:51" x14ac:dyDescent="0.25">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21:51" x14ac:dyDescent="0.25">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21:51" x14ac:dyDescent="0.25">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21:51" x14ac:dyDescent="0.25">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21:51" x14ac:dyDescent="0.25">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21:51" x14ac:dyDescent="0.25">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21:51" x14ac:dyDescent="0.25">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21:51" x14ac:dyDescent="0.25">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21:51" x14ac:dyDescent="0.25">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21:51" x14ac:dyDescent="0.25">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21:51" x14ac:dyDescent="0.25">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21:51" x14ac:dyDescent="0.25">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21:51" x14ac:dyDescent="0.25">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21:51" x14ac:dyDescent="0.25">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21:51" x14ac:dyDescent="0.25">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21:51" x14ac:dyDescent="0.25">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21:51" x14ac:dyDescent="0.25">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21:51" x14ac:dyDescent="0.25">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21:51" x14ac:dyDescent="0.25">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21:51" x14ac:dyDescent="0.25">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21:51" x14ac:dyDescent="0.25">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21:51" x14ac:dyDescent="0.25">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21:51" x14ac:dyDescent="0.25">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21:51" x14ac:dyDescent="0.25">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21:51" x14ac:dyDescent="0.25">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21:51" x14ac:dyDescent="0.25">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21:51" x14ac:dyDescent="0.25">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21:51" x14ac:dyDescent="0.25">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21:51" x14ac:dyDescent="0.25">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21:51" x14ac:dyDescent="0.25">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21:51" x14ac:dyDescent="0.25">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21:51" x14ac:dyDescent="0.25">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21:51" x14ac:dyDescent="0.25">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21:51" x14ac:dyDescent="0.25">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21:51" x14ac:dyDescent="0.25">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21:51" x14ac:dyDescent="0.25">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21:51" x14ac:dyDescent="0.25">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21:51" x14ac:dyDescent="0.25">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21:51" x14ac:dyDescent="0.25">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21:51" x14ac:dyDescent="0.25">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21:51" x14ac:dyDescent="0.25">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21:51" x14ac:dyDescent="0.25">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21:51" x14ac:dyDescent="0.25">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21:51" x14ac:dyDescent="0.25">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21:51" x14ac:dyDescent="0.25">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21:51" x14ac:dyDescent="0.25">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21:51" x14ac:dyDescent="0.25">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21:51" x14ac:dyDescent="0.25">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21:51" x14ac:dyDescent="0.25">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21:51" x14ac:dyDescent="0.25">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21:51" x14ac:dyDescent="0.25">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21:51" x14ac:dyDescent="0.25">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21:51" x14ac:dyDescent="0.25">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21:51" x14ac:dyDescent="0.25">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21:51" x14ac:dyDescent="0.25">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21:51" x14ac:dyDescent="0.25">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21:51" x14ac:dyDescent="0.25">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21:51" x14ac:dyDescent="0.25">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21:51" x14ac:dyDescent="0.25">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21:51" x14ac:dyDescent="0.25">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21:51" x14ac:dyDescent="0.25">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21:51" x14ac:dyDescent="0.25">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21:51" x14ac:dyDescent="0.25">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21:51" x14ac:dyDescent="0.25">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21:51" x14ac:dyDescent="0.25">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21:51" x14ac:dyDescent="0.25">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21:51" x14ac:dyDescent="0.25">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21:51" x14ac:dyDescent="0.25">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21:51" x14ac:dyDescent="0.25">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21:51" x14ac:dyDescent="0.25">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21:51" x14ac:dyDescent="0.25">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21:51" x14ac:dyDescent="0.25">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21:51" x14ac:dyDescent="0.25">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21:51" x14ac:dyDescent="0.25">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21:51" x14ac:dyDescent="0.25">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21:51" x14ac:dyDescent="0.25">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21:51" x14ac:dyDescent="0.25">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21:51" x14ac:dyDescent="0.25">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21:51" x14ac:dyDescent="0.25">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21:51" x14ac:dyDescent="0.25">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21:51" x14ac:dyDescent="0.25">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21:51" x14ac:dyDescent="0.25">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21:51" x14ac:dyDescent="0.25">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21:51" x14ac:dyDescent="0.25">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21:51" x14ac:dyDescent="0.25">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21:51" x14ac:dyDescent="0.25">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21:51" x14ac:dyDescent="0.25">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21:51" x14ac:dyDescent="0.25">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21:51" x14ac:dyDescent="0.25">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21:51" x14ac:dyDescent="0.25">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21:51" x14ac:dyDescent="0.25">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21:51" x14ac:dyDescent="0.25">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21:51" x14ac:dyDescent="0.25">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21:51" x14ac:dyDescent="0.25">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21:51" x14ac:dyDescent="0.25">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21:51" x14ac:dyDescent="0.25">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21:51" x14ac:dyDescent="0.25">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21:51" x14ac:dyDescent="0.25">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21:51" x14ac:dyDescent="0.25">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21:51" x14ac:dyDescent="0.25">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21:51" x14ac:dyDescent="0.25">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21:51" x14ac:dyDescent="0.25">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21:51" x14ac:dyDescent="0.25">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21:51" x14ac:dyDescent="0.25">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21:51" x14ac:dyDescent="0.25">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21:51" x14ac:dyDescent="0.25">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21:51" x14ac:dyDescent="0.25">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21:51" x14ac:dyDescent="0.25">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row>
    <row r="248" spans="21:51" x14ac:dyDescent="0.25">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row>
    <row r="249" spans="21:51" x14ac:dyDescent="0.25">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row>
    <row r="250" spans="21:51" x14ac:dyDescent="0.25">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row>
    <row r="251" spans="21:51" x14ac:dyDescent="0.25">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row>
    <row r="252" spans="21:51" x14ac:dyDescent="0.25">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row>
    <row r="253" spans="21:51" x14ac:dyDescent="0.25">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row>
    <row r="254" spans="21:51" x14ac:dyDescent="0.25">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row>
    <row r="255" spans="21:51" x14ac:dyDescent="0.25">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row>
    <row r="256" spans="21:51" x14ac:dyDescent="0.25">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row>
    <row r="257" spans="21:51" x14ac:dyDescent="0.25">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row>
    <row r="258" spans="21:51" x14ac:dyDescent="0.25">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row>
    <row r="259" spans="21:51" x14ac:dyDescent="0.25">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row>
    <row r="260" spans="21:51" x14ac:dyDescent="0.25">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row>
    <row r="261" spans="21:51" x14ac:dyDescent="0.25">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row>
    <row r="262" spans="21:51" x14ac:dyDescent="0.25">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row>
    <row r="263" spans="21:51" x14ac:dyDescent="0.25">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row>
    <row r="264" spans="21:51" x14ac:dyDescent="0.25">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row>
    <row r="265" spans="21:51" x14ac:dyDescent="0.25">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row>
    <row r="266" spans="21:51" x14ac:dyDescent="0.25">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row>
    <row r="267" spans="21:51" x14ac:dyDescent="0.25">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row>
    <row r="268" spans="21:51" x14ac:dyDescent="0.25">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row>
    <row r="269" spans="21:51" x14ac:dyDescent="0.25">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row>
    <row r="270" spans="21:51" x14ac:dyDescent="0.25">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row>
    <row r="271" spans="21:51" x14ac:dyDescent="0.25">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row>
    <row r="272" spans="21:51" x14ac:dyDescent="0.25">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row>
    <row r="273" spans="21:51" x14ac:dyDescent="0.25">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row>
    <row r="274" spans="21:51" x14ac:dyDescent="0.25">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row>
    <row r="275" spans="21:51" x14ac:dyDescent="0.25">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row>
    <row r="276" spans="21:51" x14ac:dyDescent="0.25">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row>
    <row r="277" spans="21:51" x14ac:dyDescent="0.25">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row>
    <row r="278" spans="21:51" x14ac:dyDescent="0.25">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row>
    <row r="279" spans="21:51" x14ac:dyDescent="0.25">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row>
    <row r="280" spans="21:51" x14ac:dyDescent="0.25">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row>
    <row r="281" spans="21:51" x14ac:dyDescent="0.25">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row>
    <row r="282" spans="21:51" x14ac:dyDescent="0.25">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row>
    <row r="283" spans="21:51" x14ac:dyDescent="0.25">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row>
    <row r="284" spans="21:51" x14ac:dyDescent="0.25">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row>
    <row r="285" spans="21:51" x14ac:dyDescent="0.25">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row>
    <row r="286" spans="21:51" x14ac:dyDescent="0.25">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row>
    <row r="287" spans="21:51" x14ac:dyDescent="0.25">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row>
    <row r="288" spans="21:51" x14ac:dyDescent="0.25">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row>
    <row r="289" spans="21:51" x14ac:dyDescent="0.25">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row>
    <row r="290" spans="21:51" x14ac:dyDescent="0.25">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row>
    <row r="291" spans="21:51" x14ac:dyDescent="0.25">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row>
    <row r="292" spans="21:51" x14ac:dyDescent="0.25">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row>
    <row r="293" spans="21:51" x14ac:dyDescent="0.25">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row>
    <row r="294" spans="21:51" x14ac:dyDescent="0.25">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row>
    <row r="295" spans="21:51" x14ac:dyDescent="0.25">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row>
    <row r="296" spans="21:51" x14ac:dyDescent="0.25">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row>
    <row r="297" spans="21:51" x14ac:dyDescent="0.25">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row>
    <row r="298" spans="21:51" x14ac:dyDescent="0.25">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row>
    <row r="299" spans="21:51" x14ac:dyDescent="0.25">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row>
    <row r="300" spans="21:51" x14ac:dyDescent="0.25">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row>
    <row r="301" spans="21:51" x14ac:dyDescent="0.25">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row>
    <row r="302" spans="21:51" x14ac:dyDescent="0.25">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row>
    <row r="303" spans="21:51" x14ac:dyDescent="0.25">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row>
    <row r="304" spans="21:51" x14ac:dyDescent="0.25">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row>
    <row r="305" spans="21:51" x14ac:dyDescent="0.25">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row>
    <row r="306" spans="21:51" x14ac:dyDescent="0.25">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row>
    <row r="307" spans="21:51" x14ac:dyDescent="0.25">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row>
    <row r="308" spans="21:51" x14ac:dyDescent="0.25">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row>
    <row r="309" spans="21:51" x14ac:dyDescent="0.25">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row>
    <row r="310" spans="21:51" x14ac:dyDescent="0.25">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row>
    <row r="311" spans="21:51" x14ac:dyDescent="0.25">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row>
    <row r="312" spans="21:51" x14ac:dyDescent="0.25">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row>
    <row r="313" spans="21:51" x14ac:dyDescent="0.25">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row>
    <row r="314" spans="21:51" x14ac:dyDescent="0.25">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row>
    <row r="315" spans="21:51" x14ac:dyDescent="0.25">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row>
    <row r="316" spans="21:51" x14ac:dyDescent="0.25">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row>
    <row r="317" spans="21:51" x14ac:dyDescent="0.25">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row>
    <row r="318" spans="21:51" x14ac:dyDescent="0.25">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row>
    <row r="319" spans="21:51" x14ac:dyDescent="0.25">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row>
    <row r="320" spans="21:51" x14ac:dyDescent="0.25">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row>
    <row r="321" spans="21:51" x14ac:dyDescent="0.25">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row>
    <row r="322" spans="21:51" x14ac:dyDescent="0.25">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row>
    <row r="323" spans="21:51" x14ac:dyDescent="0.25">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row>
    <row r="324" spans="21:51" x14ac:dyDescent="0.25">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row>
    <row r="325" spans="21:51" x14ac:dyDescent="0.25">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row>
    <row r="326" spans="21:51" x14ac:dyDescent="0.25">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row>
    <row r="327" spans="21:51" x14ac:dyDescent="0.25">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row>
    <row r="328" spans="21:51" x14ac:dyDescent="0.25">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row>
    <row r="329" spans="21:51" x14ac:dyDescent="0.25">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row>
    <row r="330" spans="21:51" x14ac:dyDescent="0.25">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row>
    <row r="331" spans="21:51" x14ac:dyDescent="0.25">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row>
    <row r="332" spans="21:51" x14ac:dyDescent="0.25">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row>
    <row r="333" spans="21:51" x14ac:dyDescent="0.25">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row>
    <row r="334" spans="21:51" x14ac:dyDescent="0.25">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row>
    <row r="335" spans="21:51" x14ac:dyDescent="0.25">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row>
    <row r="336" spans="21:51" x14ac:dyDescent="0.25">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row>
    <row r="337" spans="21:51" x14ac:dyDescent="0.25">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row>
    <row r="338" spans="21:51" x14ac:dyDescent="0.25">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row>
    <row r="339" spans="21:51" x14ac:dyDescent="0.25">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row>
    <row r="340" spans="21:51" x14ac:dyDescent="0.25">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row>
    <row r="341" spans="21:51" x14ac:dyDescent="0.25">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row>
    <row r="342" spans="21:51" x14ac:dyDescent="0.25">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row>
    <row r="343" spans="21:51" x14ac:dyDescent="0.25">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row>
    <row r="344" spans="21:51" x14ac:dyDescent="0.25">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row>
    <row r="345" spans="21:51" x14ac:dyDescent="0.25">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row>
    <row r="346" spans="21:51" x14ac:dyDescent="0.25">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row>
    <row r="347" spans="21:51" x14ac:dyDescent="0.25">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row>
    <row r="348" spans="21:51" x14ac:dyDescent="0.25">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row>
    <row r="349" spans="21:51" x14ac:dyDescent="0.25">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row>
    <row r="350" spans="21:51" x14ac:dyDescent="0.25">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row>
    <row r="351" spans="21:51" x14ac:dyDescent="0.25">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row>
    <row r="352" spans="21:51" x14ac:dyDescent="0.25">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row>
    <row r="353" spans="21:51" x14ac:dyDescent="0.25">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row>
    <row r="354" spans="21:51" x14ac:dyDescent="0.25">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row>
    <row r="355" spans="21:51" x14ac:dyDescent="0.25">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row>
    <row r="356" spans="21:51" x14ac:dyDescent="0.25">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row>
    <row r="357" spans="21:51" x14ac:dyDescent="0.25">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row>
    <row r="358" spans="21:51" x14ac:dyDescent="0.25">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row>
    <row r="359" spans="21:51" x14ac:dyDescent="0.25">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row>
    <row r="360" spans="21:51" x14ac:dyDescent="0.25">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row>
    <row r="361" spans="21:51" x14ac:dyDescent="0.25">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row>
    <row r="362" spans="21:51" x14ac:dyDescent="0.25">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row>
    <row r="363" spans="21:51" x14ac:dyDescent="0.25">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row>
    <row r="364" spans="21:51" x14ac:dyDescent="0.25">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row>
    <row r="365" spans="21:51" x14ac:dyDescent="0.25">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row>
    <row r="366" spans="21:51" x14ac:dyDescent="0.25">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row>
    <row r="367" spans="21:51" x14ac:dyDescent="0.25">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row>
    <row r="368" spans="21:51" x14ac:dyDescent="0.25">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row>
    <row r="369" spans="21:51" x14ac:dyDescent="0.25">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row>
    <row r="370" spans="21:51" x14ac:dyDescent="0.25">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row>
    <row r="371" spans="21:51" x14ac:dyDescent="0.25">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row>
    <row r="372" spans="21:51" x14ac:dyDescent="0.25">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row>
    <row r="373" spans="21:51" x14ac:dyDescent="0.25">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row>
    <row r="374" spans="21:51" x14ac:dyDescent="0.25">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row>
    <row r="375" spans="21:51" x14ac:dyDescent="0.25">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row>
    <row r="376" spans="21:51" x14ac:dyDescent="0.25">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row>
    <row r="377" spans="21:51" x14ac:dyDescent="0.25">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row>
    <row r="378" spans="21:51" x14ac:dyDescent="0.25">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row>
    <row r="379" spans="21:51" x14ac:dyDescent="0.25">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row>
    <row r="380" spans="21:51" x14ac:dyDescent="0.25">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row>
    <row r="381" spans="21:51" x14ac:dyDescent="0.25">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row>
    <row r="382" spans="21:51" x14ac:dyDescent="0.25">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row>
    <row r="383" spans="21:51" x14ac:dyDescent="0.25">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row>
    <row r="384" spans="21:51" x14ac:dyDescent="0.25">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row>
    <row r="385" spans="21:51" x14ac:dyDescent="0.25">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row>
    <row r="386" spans="21:51" x14ac:dyDescent="0.25">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row>
    <row r="387" spans="21:51" x14ac:dyDescent="0.25">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row>
    <row r="388" spans="21:51" x14ac:dyDescent="0.25">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row>
    <row r="389" spans="21:51" x14ac:dyDescent="0.25">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row>
    <row r="390" spans="21:51" x14ac:dyDescent="0.25">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row>
    <row r="391" spans="21:51" x14ac:dyDescent="0.25">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row>
    <row r="392" spans="21:51" x14ac:dyDescent="0.25">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row>
    <row r="393" spans="21:51" x14ac:dyDescent="0.25">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row>
    <row r="394" spans="21:51" x14ac:dyDescent="0.25">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row>
    <row r="395" spans="21:51" x14ac:dyDescent="0.25">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row>
    <row r="396" spans="21:51" x14ac:dyDescent="0.25">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row>
  </sheetData>
  <mergeCells count="2">
    <mergeCell ref="A1:T1"/>
    <mergeCell ref="A2:T2"/>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Basic Objective Test</vt:lpstr>
      <vt:lpstr>Report</vt:lpstr>
      <vt:lpstr>Robustness Test</vt:lpstr>
      <vt:lpstr>Basic Objective Test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BAOZHEN (Student)</cp:lastModifiedBy>
  <cp:lastPrinted>2026-07-08T10:28:56Z</cp:lastPrinted>
  <dcterms:created xsi:type="dcterms:W3CDTF">2026-05-20T10:34:44Z</dcterms:created>
  <dcterms:modified xsi:type="dcterms:W3CDTF">2026-08-27T15:11:39Z</dcterms:modified>
</cp:coreProperties>
</file>